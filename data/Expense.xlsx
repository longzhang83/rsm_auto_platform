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D:\360MoveData\Users\long\Desktop\accounting-voucher-generation\data\"/>
    </mc:Choice>
  </mc:AlternateContent>
  <xr:revisionPtr revIDLastSave="0" documentId="13_ncr:1_{7EFC156D-AF8F-4C98-B8EC-01184D2D02F7}" xr6:coauthVersionLast="47" xr6:coauthVersionMax="47" xr10:uidLastSave="{00000000-0000-0000-0000-000000000000}"/>
  <bookViews>
    <workbookView xWindow="720" yWindow="720" windowWidth="28800" windowHeight="18370" xr2:uid="{1F6FE326-680C-4EDE-B4E1-1FD3D1569364}"/>
  </bookViews>
  <sheets>
    <sheet name="202507" sheetId="1" r:id="rId1"/>
  </sheets>
  <externalReferences>
    <externalReference r:id="rId2"/>
  </externalReferences>
  <definedNames>
    <definedName name="_xlnm._FilterDatabase" localSheetId="0" hidden="1">'202507'!$A$1:$AC$87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7" i="1" l="1"/>
  <c r="G87" i="1"/>
  <c r="AB86" i="1"/>
  <c r="G86" i="1"/>
  <c r="AB85" i="1"/>
  <c r="G85" i="1"/>
  <c r="AB84" i="1"/>
  <c r="G84" i="1"/>
  <c r="AB83" i="1"/>
  <c r="G83" i="1"/>
  <c r="AB82" i="1"/>
  <c r="G82" i="1"/>
  <c r="AB81" i="1"/>
  <c r="G81" i="1"/>
  <c r="AB80" i="1"/>
  <c r="G80" i="1"/>
  <c r="AB79" i="1"/>
  <c r="G79" i="1"/>
  <c r="AB78" i="1"/>
  <c r="G78" i="1"/>
  <c r="AB77" i="1"/>
  <c r="G77" i="1"/>
  <c r="AB76" i="1"/>
  <c r="G76" i="1"/>
  <c r="AB75" i="1"/>
  <c r="G75" i="1"/>
  <c r="AB74" i="1"/>
  <c r="G74" i="1"/>
  <c r="AB73" i="1"/>
  <c r="G73" i="1"/>
  <c r="AB72" i="1"/>
  <c r="G72" i="1"/>
  <c r="AB71" i="1"/>
  <c r="G71" i="1"/>
  <c r="AB70" i="1"/>
  <c r="G70" i="1"/>
  <c r="AB69" i="1"/>
  <c r="G69" i="1"/>
  <c r="AB68" i="1"/>
  <c r="G68" i="1"/>
  <c r="AB67" i="1"/>
  <c r="G67" i="1"/>
  <c r="AB66" i="1"/>
  <c r="G66" i="1"/>
  <c r="AB65" i="1"/>
  <c r="G65" i="1"/>
  <c r="AB64" i="1"/>
  <c r="G64" i="1"/>
  <c r="AB63" i="1"/>
  <c r="G63" i="1"/>
  <c r="AB62" i="1"/>
  <c r="G62" i="1"/>
  <c r="AB61" i="1"/>
  <c r="G61" i="1"/>
  <c r="AB60" i="1"/>
  <c r="G60" i="1"/>
  <c r="AB59" i="1"/>
  <c r="G59" i="1"/>
  <c r="AB58" i="1"/>
  <c r="G58" i="1"/>
  <c r="AB57" i="1"/>
  <c r="G57" i="1"/>
  <c r="AB56" i="1"/>
  <c r="G56" i="1"/>
  <c r="AB55" i="1"/>
  <c r="G55" i="1"/>
  <c r="AB54" i="1"/>
  <c r="G54" i="1"/>
  <c r="AB53" i="1"/>
  <c r="G53" i="1"/>
  <c r="AB52" i="1"/>
  <c r="G52" i="1"/>
  <c r="AB51" i="1"/>
  <c r="G51" i="1"/>
  <c r="AB50" i="1"/>
  <c r="G50" i="1"/>
  <c r="AB49" i="1"/>
  <c r="G49" i="1"/>
  <c r="AB48" i="1"/>
  <c r="G48" i="1"/>
  <c r="AB47" i="1"/>
  <c r="G47" i="1"/>
  <c r="AB46" i="1"/>
  <c r="G46" i="1"/>
  <c r="AB45" i="1"/>
  <c r="G45" i="1"/>
  <c r="AB44" i="1"/>
  <c r="G44" i="1"/>
  <c r="AB43" i="1"/>
  <c r="G43" i="1"/>
  <c r="AB42" i="1"/>
  <c r="G42" i="1"/>
  <c r="AB41" i="1"/>
  <c r="G41" i="1"/>
  <c r="AB40" i="1"/>
  <c r="G40" i="1"/>
  <c r="AB39" i="1"/>
  <c r="G39" i="1"/>
  <c r="AB38" i="1"/>
  <c r="G38" i="1"/>
  <c r="AB37" i="1"/>
  <c r="G37" i="1"/>
  <c r="AB36" i="1"/>
  <c r="G36" i="1"/>
  <c r="AB35" i="1"/>
  <c r="G35" i="1"/>
  <c r="AB34" i="1"/>
  <c r="G34" i="1"/>
  <c r="AB33" i="1"/>
  <c r="G33" i="1"/>
  <c r="AB32" i="1"/>
  <c r="G32" i="1"/>
  <c r="AB31" i="1"/>
  <c r="G31" i="1"/>
  <c r="AB30" i="1"/>
  <c r="G30" i="1"/>
  <c r="AB29" i="1"/>
  <c r="G29" i="1"/>
  <c r="AB28" i="1"/>
  <c r="G28" i="1"/>
  <c r="AB27" i="1"/>
  <c r="G27" i="1"/>
  <c r="AB26" i="1"/>
  <c r="G26" i="1"/>
  <c r="AB25" i="1"/>
  <c r="G25" i="1"/>
  <c r="AB24" i="1"/>
  <c r="G24" i="1"/>
  <c r="AB23" i="1"/>
  <c r="G23" i="1"/>
  <c r="AB22" i="1"/>
  <c r="G22" i="1"/>
  <c r="AB21" i="1"/>
  <c r="G21" i="1"/>
  <c r="AB20" i="1"/>
  <c r="G20" i="1"/>
  <c r="AB19" i="1"/>
  <c r="G19" i="1"/>
  <c r="AB18" i="1"/>
  <c r="G18" i="1"/>
  <c r="AB17" i="1"/>
  <c r="G17" i="1"/>
  <c r="AB16" i="1"/>
  <c r="G16" i="1"/>
  <c r="AB15" i="1"/>
  <c r="G15" i="1"/>
  <c r="AB14" i="1"/>
  <c r="G14" i="1"/>
  <c r="AB13" i="1"/>
  <c r="G13" i="1"/>
  <c r="AB12" i="1"/>
  <c r="G12" i="1"/>
  <c r="AB11" i="1"/>
  <c r="G11" i="1"/>
  <c r="AB10" i="1"/>
  <c r="G10" i="1"/>
  <c r="AB9" i="1"/>
  <c r="G9" i="1"/>
  <c r="AB8" i="1"/>
  <c r="G8" i="1"/>
  <c r="AB7" i="1"/>
  <c r="G7" i="1"/>
  <c r="AB6" i="1"/>
  <c r="G6" i="1"/>
  <c r="AB5" i="1"/>
  <c r="G5" i="1"/>
  <c r="AB4" i="1"/>
  <c r="G4" i="1"/>
  <c r="AB3" i="1"/>
  <c r="G3" i="1"/>
  <c r="AB2" i="1"/>
  <c r="G2" i="1"/>
</calcChain>
</file>

<file path=xl/sharedStrings.xml><?xml version="1.0" encoding="utf-8"?>
<sst xmlns="http://schemas.openxmlformats.org/spreadsheetml/2006/main" count="717" uniqueCount="259">
  <si>
    <t>报销形式</t>
    <phoneticPr fontId="2" type="noConversion"/>
  </si>
  <si>
    <t>公司</t>
    <phoneticPr fontId="2" type="noConversion"/>
  </si>
  <si>
    <t>审批编码</t>
    <phoneticPr fontId="2" type="noConversion"/>
  </si>
  <si>
    <t>姓名</t>
    <phoneticPr fontId="2" type="noConversion"/>
  </si>
  <si>
    <t>部门-详</t>
    <phoneticPr fontId="2" type="noConversion"/>
  </si>
  <si>
    <t>部门</t>
    <phoneticPr fontId="2" type="noConversion"/>
  </si>
  <si>
    <t>费用科目</t>
    <phoneticPr fontId="2" type="noConversion"/>
  </si>
  <si>
    <t>费用摘要</t>
    <phoneticPr fontId="2" type="noConversion"/>
  </si>
  <si>
    <t>日期</t>
    <phoneticPr fontId="2" type="noConversion"/>
  </si>
  <si>
    <t>差旅费交通</t>
    <phoneticPr fontId="2" type="noConversion"/>
  </si>
  <si>
    <t>住宿费</t>
    <phoneticPr fontId="2" type="noConversion"/>
  </si>
  <si>
    <t>文印快递</t>
    <phoneticPr fontId="2" type="noConversion"/>
  </si>
  <si>
    <t>招待费</t>
    <phoneticPr fontId="2" type="noConversion"/>
  </si>
  <si>
    <t>市内交通</t>
    <phoneticPr fontId="2" type="noConversion"/>
  </si>
  <si>
    <t>油费</t>
    <phoneticPr fontId="2" type="noConversion"/>
  </si>
  <si>
    <t>过路过桥停车费</t>
    <phoneticPr fontId="2" type="noConversion"/>
  </si>
  <si>
    <t>团建费</t>
    <phoneticPr fontId="2" type="noConversion"/>
  </si>
  <si>
    <t>固定资产</t>
    <phoneticPr fontId="2" type="noConversion"/>
  </si>
  <si>
    <t>IT建设</t>
    <phoneticPr fontId="2" type="noConversion"/>
  </si>
  <si>
    <t>福利费</t>
    <phoneticPr fontId="2" type="noConversion"/>
  </si>
  <si>
    <t>办公费</t>
    <phoneticPr fontId="2" type="noConversion"/>
  </si>
  <si>
    <t>维修费</t>
    <phoneticPr fontId="2" type="noConversion"/>
  </si>
  <si>
    <t>市场费</t>
    <phoneticPr fontId="2" type="noConversion"/>
  </si>
  <si>
    <t>会务费</t>
    <phoneticPr fontId="2" type="noConversion"/>
  </si>
  <si>
    <t>通讯费</t>
    <phoneticPr fontId="2" type="noConversion"/>
  </si>
  <si>
    <t>出差餐补</t>
    <phoneticPr fontId="2" type="noConversion"/>
  </si>
  <si>
    <t>其他</t>
    <phoneticPr fontId="2" type="noConversion"/>
  </si>
  <si>
    <t>小计</t>
    <phoneticPr fontId="2" type="noConversion"/>
  </si>
  <si>
    <t>发票数量</t>
    <phoneticPr fontId="2" type="noConversion"/>
  </si>
  <si>
    <t>一般报销</t>
  </si>
  <si>
    <t>无锡泊客</t>
  </si>
  <si>
    <t>202507211042000152066</t>
  </si>
  <si>
    <t>周肖琪</t>
  </si>
  <si>
    <t>HR-HR01</t>
  </si>
  <si>
    <t>HR</t>
  </si>
  <si>
    <t>快递费</t>
  </si>
  <si>
    <t>2025-07-21</t>
  </si>
  <si>
    <t>丁力</t>
  </si>
  <si>
    <t>202507192208000214911</t>
  </si>
  <si>
    <t>沈思</t>
  </si>
  <si>
    <t>Revenue Recovery-Pido Team</t>
  </si>
  <si>
    <t>Revenue Recovery</t>
  </si>
  <si>
    <t>加班打车</t>
  </si>
  <si>
    <t>2025-07-19</t>
  </si>
  <si>
    <t>顾雯雯</t>
  </si>
  <si>
    <t>202507191950000173809</t>
  </si>
  <si>
    <t>章琦</t>
  </si>
  <si>
    <t>Yumin Team-Cocoa Team-DSP Team</t>
  </si>
  <si>
    <t>Yumin Team</t>
  </si>
  <si>
    <t>李胤楼</t>
  </si>
  <si>
    <t>202507211528000439864</t>
  </si>
  <si>
    <t>袁丽娟</t>
  </si>
  <si>
    <t>王宇锋</t>
  </si>
  <si>
    <t>202507211303000360816</t>
  </si>
  <si>
    <t>赵凤新</t>
  </si>
  <si>
    <t>PM&amp;UED-PM</t>
  </si>
  <si>
    <t>PM&amp;UED</t>
  </si>
  <si>
    <t>签证费</t>
  </si>
  <si>
    <t>殷子心</t>
  </si>
  <si>
    <t>202507211559000024466</t>
  </si>
  <si>
    <t>马晴</t>
  </si>
  <si>
    <t>202507181812000450754</t>
  </si>
  <si>
    <t>宋薇</t>
  </si>
  <si>
    <t>Yumin Team-H10_SZ</t>
  </si>
  <si>
    <t>7月15日杭州闭门会中午购买43张30元午餐餐券，以及三箱活动用水</t>
  </si>
  <si>
    <t>2025-07-18</t>
  </si>
  <si>
    <t>张云云</t>
  </si>
  <si>
    <t>202507181436000461811</t>
  </si>
  <si>
    <t>招聘费用</t>
  </si>
  <si>
    <t>202507181412000175704</t>
  </si>
  <si>
    <t>办公费&amp;福利费&amp;快递费</t>
  </si>
  <si>
    <t>陈晓林</t>
  </si>
  <si>
    <t>202507181032000161813</t>
  </si>
  <si>
    <t>马章瑜</t>
  </si>
  <si>
    <t>R&amp;D-SMB</t>
  </si>
  <si>
    <t>R&amp;D</t>
  </si>
  <si>
    <t>团建费</t>
  </si>
  <si>
    <t>费冬梅</t>
  </si>
  <si>
    <t>202507180931000237464</t>
  </si>
  <si>
    <t>皇甫苗苗</t>
  </si>
  <si>
    <t>R&amp;D-QA&amp;PMO-QA-Test-Commerce Test Team</t>
  </si>
  <si>
    <t>李璐</t>
  </si>
  <si>
    <t>202507172207000168100</t>
  </si>
  <si>
    <t>R&amp;D-QA&amp;PMO-QA-Test-Helium 10 Test Team</t>
  </si>
  <si>
    <t>2025-07-17</t>
  </si>
  <si>
    <t>陈雨</t>
  </si>
  <si>
    <t>202507171810000106051</t>
  </si>
  <si>
    <t>吉羽</t>
  </si>
  <si>
    <t>R&amp;D-Enterprise-Corporate IT</t>
  </si>
  <si>
    <t>202507171350000515422</t>
  </si>
  <si>
    <t>R&amp;D-Enterprise</t>
  </si>
  <si>
    <t>金一泽</t>
  </si>
  <si>
    <t>202507170851000339693</t>
  </si>
  <si>
    <t>管燕山</t>
  </si>
  <si>
    <t>R&amp;D-Enterprise-Commerce-Front End</t>
  </si>
  <si>
    <t>方玲</t>
  </si>
  <si>
    <t>202507161335000493772</t>
  </si>
  <si>
    <t>蔡佳菡</t>
  </si>
  <si>
    <t>办公费&amp;福利费</t>
  </si>
  <si>
    <t>2025-07-16</t>
  </si>
  <si>
    <t>夏寅海</t>
  </si>
  <si>
    <t>202507161108000216812</t>
  </si>
  <si>
    <t>李凯</t>
  </si>
  <si>
    <t>PM&amp;UED-UED  Enterprise</t>
  </si>
  <si>
    <t>差旅费</t>
  </si>
  <si>
    <t>李振强</t>
  </si>
  <si>
    <t>202507161010000118303</t>
  </si>
  <si>
    <t>R&amp;D-QA&amp;PMO-QA-Test-Middle Platform Test Team</t>
  </si>
  <si>
    <t>胡东明</t>
  </si>
  <si>
    <t>202507160954000380059</t>
  </si>
  <si>
    <t>葛成杰</t>
  </si>
  <si>
    <t>202507160950000185179</t>
  </si>
  <si>
    <t>杨艳艳</t>
  </si>
  <si>
    <t>202507160940000564273</t>
  </si>
  <si>
    <t>梅宝文</t>
  </si>
  <si>
    <t>202507160935000249026</t>
  </si>
  <si>
    <t>R&amp;D-Enterprise-Commerce-Content Management</t>
  </si>
  <si>
    <t>202507101013000457377</t>
  </si>
  <si>
    <t>刘瑞敏</t>
  </si>
  <si>
    <t>2025-07-10</t>
  </si>
  <si>
    <t>202507091435000573640</t>
  </si>
  <si>
    <t>高晓晨</t>
  </si>
  <si>
    <t>Yumin Team-Cocoa Team-CS Team</t>
  </si>
  <si>
    <t>2025-07-09</t>
  </si>
  <si>
    <t>张安谊</t>
  </si>
  <si>
    <t>202507091037000361675</t>
  </si>
  <si>
    <t>魏宁玲</t>
  </si>
  <si>
    <t>蔡鹏</t>
  </si>
  <si>
    <t>202507081213000517920</t>
  </si>
  <si>
    <t>R&amp;D-Enterprise-Commerce</t>
  </si>
  <si>
    <t>面签&amp;快递费&amp;签证费</t>
  </si>
  <si>
    <t>2025-07-08</t>
  </si>
  <si>
    <t>202507071439000161192</t>
  </si>
  <si>
    <t>姬礼</t>
  </si>
  <si>
    <t>2025-07-07</t>
  </si>
  <si>
    <t>202507071203000291523</t>
  </si>
  <si>
    <t>202507040959000114870</t>
  </si>
  <si>
    <t>2025-07-04</t>
  </si>
  <si>
    <t>202507011047000578303</t>
  </si>
  <si>
    <t>2025-07-01</t>
  </si>
  <si>
    <t>202506302054000237319</t>
  </si>
  <si>
    <t>2025-06-30</t>
  </si>
  <si>
    <t>202506271213000003160</t>
  </si>
  <si>
    <t>周盼盼</t>
  </si>
  <si>
    <t>2025-06-27</t>
  </si>
  <si>
    <t>202506271208000562306</t>
  </si>
  <si>
    <t>202506241615000421229</t>
  </si>
  <si>
    <t>江正贯</t>
  </si>
  <si>
    <t>R&amp;D-Enterprise-Data ETL</t>
  </si>
  <si>
    <t>软件服务费</t>
  </si>
  <si>
    <t>2025-06-24</t>
  </si>
  <si>
    <t>202507171708000235667</t>
  </si>
  <si>
    <t>R&amp;D-SMB-Offline Data Processing-Data Acquisition</t>
  </si>
  <si>
    <t>CN IP 代理</t>
  </si>
  <si>
    <t>202507181425000591672</t>
  </si>
  <si>
    <t>差旅费报销</t>
  </si>
  <si>
    <t>202507211633000265858</t>
  </si>
  <si>
    <t>出差1天</t>
  </si>
  <si>
    <t>202507181921000193069</t>
  </si>
  <si>
    <t>202507192219000356946</t>
  </si>
  <si>
    <t>出差3天</t>
  </si>
  <si>
    <t>202507191945000483789</t>
  </si>
  <si>
    <t>史立丽</t>
  </si>
  <si>
    <t>202507181605000420856</t>
  </si>
  <si>
    <t>PM&amp;UED-PM-SMB Ads</t>
  </si>
  <si>
    <t>出差2天</t>
  </si>
  <si>
    <t>刘晶鑫</t>
  </si>
  <si>
    <t>202507181831000188638</t>
  </si>
  <si>
    <t>龚伟</t>
  </si>
  <si>
    <t>202507181828000597411</t>
  </si>
  <si>
    <t>韩苏闻</t>
  </si>
  <si>
    <t>202507181827000331065</t>
  </si>
  <si>
    <t>PM&amp;UED-UED  Helium 10</t>
  </si>
  <si>
    <t>吕溢</t>
  </si>
  <si>
    <t>202507181827000153924</t>
  </si>
  <si>
    <t>陈玲</t>
  </si>
  <si>
    <t>202507181824000124879</t>
  </si>
  <si>
    <t>陈琛</t>
  </si>
  <si>
    <t>202507181657000574045</t>
  </si>
  <si>
    <t>PM&amp;UED-DS Team</t>
  </si>
  <si>
    <t>张帅涛</t>
  </si>
  <si>
    <t>202507181326000530754</t>
  </si>
  <si>
    <t>秦铮铮</t>
  </si>
  <si>
    <t>202507172203000027051</t>
  </si>
  <si>
    <t>秦旺进</t>
  </si>
  <si>
    <t>202507172131000150857</t>
  </si>
  <si>
    <t>姜智明</t>
  </si>
  <si>
    <t>202507172129000099812</t>
  </si>
  <si>
    <t>R&amp;D-SMB-Online services Engineering-Research Tools Team</t>
  </si>
  <si>
    <t>王恩平</t>
  </si>
  <si>
    <t>202507171808000429842</t>
  </si>
  <si>
    <t>李亚奇</t>
  </si>
  <si>
    <t>202507171549000344073</t>
  </si>
  <si>
    <t>颜园园</t>
  </si>
  <si>
    <t>202507171501000102906</t>
  </si>
  <si>
    <t>出差4天</t>
  </si>
  <si>
    <t>何锐</t>
  </si>
  <si>
    <t>202507171407000593037</t>
  </si>
  <si>
    <t>R&amp;D-SMB-Architecture-Optimization</t>
  </si>
  <si>
    <t>202507171347000383046</t>
  </si>
  <si>
    <t>202507171201000144577</t>
  </si>
  <si>
    <t>202507170913000033046</t>
  </si>
  <si>
    <t>202507161320000459097</t>
  </si>
  <si>
    <t>PM&amp;UED-PM-Commerce</t>
  </si>
  <si>
    <t>202507160942000491411</t>
  </si>
  <si>
    <t>202507151232000410360</t>
  </si>
  <si>
    <t>R&amp;D-Enterprise-Commerce-RRM</t>
  </si>
  <si>
    <t>2025-07-15</t>
  </si>
  <si>
    <t>202507131821000074633</t>
  </si>
  <si>
    <t>2025-07-13</t>
  </si>
  <si>
    <t>202507111434000241712</t>
  </si>
  <si>
    <t>R&amp;D-SMB-Online services Engineering-Ads&amp;Commerce Team</t>
  </si>
  <si>
    <t>2025-07-11</t>
  </si>
  <si>
    <t>202507091734000200770</t>
  </si>
  <si>
    <t>202507071808000087927</t>
  </si>
  <si>
    <t>R&amp;D-SMB-DevOps</t>
  </si>
  <si>
    <t>202507071037000019686</t>
  </si>
  <si>
    <t>出差5天</t>
  </si>
  <si>
    <t>202507061757000264757</t>
  </si>
  <si>
    <t>R&amp;D-SMB-Online services Engineering-Research Tools Team-Shared Service</t>
  </si>
  <si>
    <t>2025-07-06</t>
  </si>
  <si>
    <t>202507161317000400780</t>
  </si>
  <si>
    <t>202507041017000039961</t>
  </si>
  <si>
    <t>202507031644000183138</t>
  </si>
  <si>
    <t>PM&amp;UED-PM-Data and AI</t>
  </si>
  <si>
    <t>2025-07-03</t>
  </si>
  <si>
    <t>202507021716000496530</t>
  </si>
  <si>
    <t>2025-07-02</t>
  </si>
  <si>
    <t>202507031631000321280</t>
  </si>
  <si>
    <t>202506160135000091796</t>
  </si>
  <si>
    <t>Yumin Team-Cocoa Team</t>
  </si>
  <si>
    <t>出差26天</t>
  </si>
  <si>
    <t>2025-06-16</t>
  </si>
  <si>
    <t>202507012221000439813</t>
  </si>
  <si>
    <t>出差6天</t>
  </si>
  <si>
    <t>202507011559000578297</t>
  </si>
  <si>
    <t>出差8天</t>
  </si>
  <si>
    <t>202506300934000466629</t>
  </si>
  <si>
    <t>202506160037000504897</t>
  </si>
  <si>
    <t>出差17天</t>
  </si>
  <si>
    <t>202507021658000047712</t>
  </si>
  <si>
    <t>R&amp;D-SMB-Architecture-Price&amp;Packaging</t>
  </si>
  <si>
    <t>202507031637000337699</t>
  </si>
  <si>
    <t>常规团建费报销</t>
  </si>
  <si>
    <t>202507221540000127872</t>
  </si>
  <si>
    <t>常规团建</t>
  </si>
  <si>
    <t>2025-07-22</t>
  </si>
  <si>
    <t>202507071208000110963</t>
  </si>
  <si>
    <t>202507071043000233822</t>
  </si>
  <si>
    <t>202507031914000115701</t>
  </si>
  <si>
    <t>202507031511000251775</t>
  </si>
  <si>
    <t>R&amp;D-Enterprise-Ads Division-Platform Dept-Amazon DSP</t>
  </si>
  <si>
    <t>202507021230000174152</t>
  </si>
  <si>
    <t>R&amp;D-Enterprise-Ads Division-Platform Dept-Wal &amp; IC</t>
  </si>
  <si>
    <t>202507241448000274005</t>
  </si>
  <si>
    <t>Support &amp; CSM</t>
  </si>
  <si>
    <t>2025-07-24</t>
  </si>
  <si>
    <t>HR-HR01</t>
    <phoneticPr fontId="2" type="noConversion"/>
  </si>
  <si>
    <t>快递费&amp;市内交通&amp;软件费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</si>
</sst>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Fill="1" applyAlignment="1">
      <alignment vertical="center"/>
    </xf>
    <xf numFmtId="43" fontId="1" fillId="0" borderId="0" xfId="1" applyFont="1" applyFill="1" applyAlignment="1">
      <alignment vertical="center" wrapText="1"/>
    </xf>
    <xf numFmtId="43" fontId="1" fillId="0" borderId="0" xfId="1" applyFont="1" applyFill="1" applyAlignment="1">
      <alignment vertical="center"/>
    </xf>
  </cellXfs>
  <cellStyles count="2">
    <cellStyle name="常规" xfId="0" builtinId="0"/>
    <cellStyle name="千位分隔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360MoveData\Users\long\Desktop\&#20973;&#35777;&#33258;&#21160;&#29983;&#25104;\&#36153;&#29992;\Expense_BK_2025.xlsx" TargetMode="External"/><Relationship Id="rId1" Type="http://schemas.openxmlformats.org/officeDocument/2006/relationships/externalLinkPath" Target="/360MoveData/Users/long/Desktop/&#20973;&#35777;&#33258;&#21160;&#29983;&#25104;/&#36153;&#29992;/Expense_BK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Pacvue 费用汇总"/>
      <sheetName val="202501"/>
      <sheetName val="202502"/>
      <sheetName val="202503"/>
      <sheetName val="202504"/>
      <sheetName val="202505"/>
      <sheetName val="202506"/>
      <sheetName val="202507"/>
      <sheetName val="202408"/>
      <sheetName val="202409"/>
      <sheetName val="202410"/>
      <sheetName val="202411"/>
      <sheetName val="202412"/>
      <sheetName val="费用科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姓名</v>
          </cell>
          <cell r="B1" t="str">
            <v>1级部门</v>
          </cell>
          <cell r="C1" t="str">
            <v>费用科目</v>
          </cell>
        </row>
        <row r="2">
          <cell r="A2" t="str">
            <v>张瑞琪</v>
          </cell>
          <cell r="B2" t="str">
            <v>R&amp;D</v>
          </cell>
          <cell r="C2" t="str">
            <v>研发费用</v>
          </cell>
        </row>
        <row r="3">
          <cell r="A3" t="str">
            <v>王璐</v>
          </cell>
          <cell r="B3" t="str">
            <v>Ian Team</v>
          </cell>
          <cell r="C3" t="str">
            <v>管理费用</v>
          </cell>
        </row>
        <row r="4">
          <cell r="A4" t="str">
            <v>许佳琪</v>
          </cell>
          <cell r="B4" t="str">
            <v>PM&amp;UED</v>
          </cell>
          <cell r="C4" t="str">
            <v>研发费用</v>
          </cell>
        </row>
        <row r="5">
          <cell r="A5" t="str">
            <v>张天睿</v>
          </cell>
          <cell r="B5" t="str">
            <v>R&amp;D</v>
          </cell>
          <cell r="C5" t="str">
            <v>研发费用</v>
          </cell>
        </row>
        <row r="6">
          <cell r="A6" t="str">
            <v>韩戌</v>
          </cell>
          <cell r="B6" t="str">
            <v>Yumin Team</v>
          </cell>
          <cell r="C6" t="str">
            <v>管理费用</v>
          </cell>
        </row>
        <row r="7">
          <cell r="A7" t="str">
            <v>王刚</v>
          </cell>
          <cell r="B7" t="str">
            <v>PM&amp;UED</v>
          </cell>
          <cell r="C7" t="str">
            <v>研发费用</v>
          </cell>
        </row>
        <row r="8">
          <cell r="A8" t="str">
            <v>马东</v>
          </cell>
          <cell r="B8" t="str">
            <v>R&amp;D</v>
          </cell>
          <cell r="C8" t="str">
            <v>研发费用</v>
          </cell>
        </row>
        <row r="9">
          <cell r="A9" t="str">
            <v>胡海潮</v>
          </cell>
          <cell r="B9" t="str">
            <v>PM&amp;UED</v>
          </cell>
          <cell r="C9" t="str">
            <v>研发费用</v>
          </cell>
        </row>
        <row r="10">
          <cell r="A10" t="str">
            <v>李擎天</v>
          </cell>
          <cell r="B10" t="str">
            <v>R&amp;D</v>
          </cell>
          <cell r="C10" t="str">
            <v>研发费用</v>
          </cell>
        </row>
        <row r="11">
          <cell r="A11" t="str">
            <v>蔡天玮</v>
          </cell>
          <cell r="B11" t="str">
            <v>R&amp;D</v>
          </cell>
          <cell r="C11" t="str">
            <v>研发费用</v>
          </cell>
        </row>
        <row r="12">
          <cell r="A12" t="str">
            <v>郭前成</v>
          </cell>
          <cell r="B12" t="str">
            <v>R&amp;D</v>
          </cell>
          <cell r="C12" t="str">
            <v>研发费用</v>
          </cell>
        </row>
        <row r="13">
          <cell r="A13" t="str">
            <v>高丽娜</v>
          </cell>
          <cell r="B13" t="str">
            <v>R&amp;D</v>
          </cell>
          <cell r="C13" t="str">
            <v>研发费用</v>
          </cell>
        </row>
        <row r="14">
          <cell r="A14" t="str">
            <v>汤同大</v>
          </cell>
          <cell r="B14" t="str">
            <v>R&amp;D</v>
          </cell>
          <cell r="C14" t="str">
            <v>研发费用</v>
          </cell>
        </row>
        <row r="15">
          <cell r="A15" t="str">
            <v>黄希阳</v>
          </cell>
          <cell r="B15" t="str">
            <v>Ian Team</v>
          </cell>
          <cell r="C15" t="str">
            <v>管理费用</v>
          </cell>
        </row>
        <row r="16">
          <cell r="A16" t="str">
            <v>王玉峥</v>
          </cell>
          <cell r="B16" t="str">
            <v>PM&amp;UED</v>
          </cell>
          <cell r="C16" t="str">
            <v>研发费用</v>
          </cell>
        </row>
        <row r="17">
          <cell r="A17" t="str">
            <v>雷慧雯</v>
          </cell>
          <cell r="B17" t="str">
            <v>R&amp;D</v>
          </cell>
          <cell r="C17" t="str">
            <v>研发费用</v>
          </cell>
        </row>
        <row r="18">
          <cell r="A18" t="str">
            <v>汪彬艳</v>
          </cell>
          <cell r="B18" t="str">
            <v>HR</v>
          </cell>
          <cell r="C18" t="str">
            <v>管理费用</v>
          </cell>
        </row>
        <row r="19">
          <cell r="A19" t="str">
            <v>邵珅炜</v>
          </cell>
          <cell r="B19" t="str">
            <v>PM&amp;UED</v>
          </cell>
          <cell r="C19" t="str">
            <v>研发费用</v>
          </cell>
        </row>
        <row r="20">
          <cell r="A20" t="str">
            <v>杨雷</v>
          </cell>
          <cell r="B20" t="str">
            <v>R&amp;D</v>
          </cell>
          <cell r="C20" t="str">
            <v>研发费用</v>
          </cell>
        </row>
        <row r="21">
          <cell r="A21" t="str">
            <v>高银铭</v>
          </cell>
          <cell r="B21" t="str">
            <v>Ian Team</v>
          </cell>
          <cell r="C21" t="str">
            <v>管理费用</v>
          </cell>
        </row>
        <row r="22">
          <cell r="A22" t="str">
            <v>郭睿扬</v>
          </cell>
          <cell r="B22" t="str">
            <v>R&amp;D</v>
          </cell>
          <cell r="C22" t="str">
            <v>研发费用</v>
          </cell>
        </row>
        <row r="23">
          <cell r="A23" t="str">
            <v>周倩</v>
          </cell>
          <cell r="B23" t="str">
            <v>R&amp;D</v>
          </cell>
          <cell r="C23" t="str">
            <v>研发费用</v>
          </cell>
        </row>
        <row r="24">
          <cell r="A24" t="str">
            <v>高俊峰</v>
          </cell>
          <cell r="B24" t="str">
            <v>R&amp;D</v>
          </cell>
          <cell r="C24" t="str">
            <v>研发费用</v>
          </cell>
        </row>
        <row r="25">
          <cell r="A25" t="str">
            <v>严国亮</v>
          </cell>
          <cell r="B25" t="str">
            <v>R&amp;D</v>
          </cell>
          <cell r="C25" t="str">
            <v>研发费用</v>
          </cell>
        </row>
        <row r="26">
          <cell r="A26" t="str">
            <v>邱士东</v>
          </cell>
          <cell r="B26" t="str">
            <v>Yumin Team</v>
          </cell>
          <cell r="C26" t="str">
            <v>管理费用</v>
          </cell>
        </row>
        <row r="27">
          <cell r="A27" t="str">
            <v>孙莹</v>
          </cell>
          <cell r="B27" t="str">
            <v>Revenue Recovery</v>
          </cell>
          <cell r="C27" t="str">
            <v>管理费用</v>
          </cell>
        </row>
        <row r="28">
          <cell r="A28" t="str">
            <v>陈甫</v>
          </cell>
          <cell r="B28" t="str">
            <v>Yumin Team</v>
          </cell>
          <cell r="C28" t="str">
            <v>管理费用</v>
          </cell>
        </row>
        <row r="29">
          <cell r="A29" t="str">
            <v>龚伟</v>
          </cell>
          <cell r="B29" t="str">
            <v>PM&amp;UED</v>
          </cell>
          <cell r="C29" t="str">
            <v>研发费用</v>
          </cell>
        </row>
        <row r="30">
          <cell r="A30" t="str">
            <v>陈锦超</v>
          </cell>
          <cell r="B30" t="str">
            <v>R&amp;D</v>
          </cell>
          <cell r="C30" t="str">
            <v>研发费用</v>
          </cell>
        </row>
        <row r="31">
          <cell r="A31" t="str">
            <v>盛慧敏</v>
          </cell>
          <cell r="B31" t="str">
            <v>R&amp;D</v>
          </cell>
          <cell r="C31" t="str">
            <v>研发费用</v>
          </cell>
        </row>
        <row r="32">
          <cell r="A32" t="str">
            <v>赵妍</v>
          </cell>
          <cell r="B32" t="str">
            <v>Ian Team</v>
          </cell>
          <cell r="C32" t="str">
            <v>管理费用</v>
          </cell>
        </row>
        <row r="33">
          <cell r="A33" t="str">
            <v>冯美琴</v>
          </cell>
          <cell r="B33" t="str">
            <v>R&amp;D</v>
          </cell>
          <cell r="C33" t="str">
            <v>研发费用</v>
          </cell>
        </row>
        <row r="34">
          <cell r="A34" t="str">
            <v>蒋梦珂</v>
          </cell>
          <cell r="B34" t="str">
            <v>Ian Team</v>
          </cell>
          <cell r="C34" t="str">
            <v>管理费用</v>
          </cell>
        </row>
        <row r="35">
          <cell r="A35" t="str">
            <v>叶沁儒</v>
          </cell>
          <cell r="B35" t="str">
            <v>Ian Team</v>
          </cell>
          <cell r="C35" t="str">
            <v>管理费用</v>
          </cell>
        </row>
        <row r="36">
          <cell r="A36" t="str">
            <v>吴琦</v>
          </cell>
          <cell r="B36" t="str">
            <v>HR</v>
          </cell>
          <cell r="C36" t="str">
            <v>管理费用</v>
          </cell>
        </row>
        <row r="37">
          <cell r="A37" t="str">
            <v>蒋诗钰</v>
          </cell>
          <cell r="B37" t="str">
            <v>Ian Team</v>
          </cell>
          <cell r="C37" t="str">
            <v>管理费用</v>
          </cell>
        </row>
        <row r="38">
          <cell r="A38" t="str">
            <v>杨莹</v>
          </cell>
          <cell r="B38" t="str">
            <v>Support &amp; CSM</v>
          </cell>
          <cell r="C38" t="str">
            <v>管理费用</v>
          </cell>
        </row>
        <row r="39">
          <cell r="A39" t="str">
            <v>吉羽</v>
          </cell>
          <cell r="B39" t="str">
            <v>R&amp;D</v>
          </cell>
          <cell r="C39" t="str">
            <v>研发费用</v>
          </cell>
        </row>
        <row r="40">
          <cell r="A40" t="str">
            <v>邵鹏程</v>
          </cell>
          <cell r="B40" t="str">
            <v>Support &amp; CSM</v>
          </cell>
          <cell r="C40" t="str">
            <v>管理费用</v>
          </cell>
        </row>
        <row r="41">
          <cell r="A41" t="str">
            <v>邵志杰</v>
          </cell>
          <cell r="B41" t="str">
            <v>Support &amp; CSM</v>
          </cell>
          <cell r="C41" t="str">
            <v>管理费用</v>
          </cell>
        </row>
        <row r="42">
          <cell r="A42" t="str">
            <v>查敏艳</v>
          </cell>
          <cell r="B42" t="str">
            <v>Support &amp; CSM</v>
          </cell>
          <cell r="C42" t="str">
            <v>管理费用</v>
          </cell>
        </row>
        <row r="43">
          <cell r="A43" t="str">
            <v>何旭</v>
          </cell>
          <cell r="B43" t="str">
            <v>PM&amp;UED</v>
          </cell>
          <cell r="C43" t="str">
            <v>研发费用</v>
          </cell>
        </row>
        <row r="44">
          <cell r="A44" t="str">
            <v>任自强</v>
          </cell>
          <cell r="B44" t="str">
            <v>PM&amp;UED</v>
          </cell>
          <cell r="C44" t="str">
            <v>研发费用</v>
          </cell>
        </row>
        <row r="45">
          <cell r="A45" t="str">
            <v>陶相全</v>
          </cell>
          <cell r="B45" t="str">
            <v>R&amp;D</v>
          </cell>
          <cell r="C45" t="str">
            <v>研发费用</v>
          </cell>
        </row>
        <row r="46">
          <cell r="A46" t="str">
            <v>郭万文</v>
          </cell>
          <cell r="B46" t="str">
            <v>R&amp;D</v>
          </cell>
          <cell r="C46" t="str">
            <v>研发费用</v>
          </cell>
        </row>
        <row r="47">
          <cell r="A47" t="str">
            <v>张茜</v>
          </cell>
          <cell r="B47" t="str">
            <v>PM&amp;UED</v>
          </cell>
          <cell r="C47" t="str">
            <v>研发费用</v>
          </cell>
        </row>
        <row r="48">
          <cell r="A48" t="str">
            <v>徐强</v>
          </cell>
          <cell r="B48" t="str">
            <v>R&amp;D</v>
          </cell>
          <cell r="C48" t="str">
            <v>研发费用</v>
          </cell>
        </row>
        <row r="49">
          <cell r="A49" t="str">
            <v>吴启正</v>
          </cell>
          <cell r="B49" t="str">
            <v>Revenue Recovery</v>
          </cell>
          <cell r="C49" t="str">
            <v>管理费用</v>
          </cell>
        </row>
        <row r="50">
          <cell r="A50" t="str">
            <v>吴颖</v>
          </cell>
          <cell r="B50" t="str">
            <v>Revenue Recovery</v>
          </cell>
          <cell r="C50" t="str">
            <v>管理费用</v>
          </cell>
        </row>
        <row r="51">
          <cell r="A51" t="str">
            <v>李永腾</v>
          </cell>
          <cell r="B51" t="str">
            <v>R&amp;D</v>
          </cell>
          <cell r="C51" t="str">
            <v>研发费用</v>
          </cell>
        </row>
        <row r="52">
          <cell r="A52" t="str">
            <v>沈浩</v>
          </cell>
          <cell r="B52" t="str">
            <v>R&amp;D</v>
          </cell>
          <cell r="C52" t="str">
            <v>研发费用</v>
          </cell>
        </row>
        <row r="53">
          <cell r="A53" t="str">
            <v>李继瑄</v>
          </cell>
          <cell r="B53" t="str">
            <v>Ian Team</v>
          </cell>
          <cell r="C53" t="str">
            <v>管理费用</v>
          </cell>
        </row>
        <row r="54">
          <cell r="A54" t="str">
            <v>王维春</v>
          </cell>
          <cell r="B54" t="str">
            <v>PM&amp;UED</v>
          </cell>
          <cell r="C54" t="str">
            <v>研发费用</v>
          </cell>
        </row>
        <row r="55">
          <cell r="A55" t="str">
            <v>焦艺同</v>
          </cell>
          <cell r="B55" t="str">
            <v>Ian Team</v>
          </cell>
          <cell r="C55" t="str">
            <v>管理费用</v>
          </cell>
        </row>
        <row r="56">
          <cell r="A56" t="str">
            <v>李玲</v>
          </cell>
          <cell r="B56" t="str">
            <v>PM&amp;UED</v>
          </cell>
          <cell r="C56" t="str">
            <v>研发费用</v>
          </cell>
        </row>
        <row r="57">
          <cell r="A57" t="str">
            <v>高婧雯</v>
          </cell>
          <cell r="B57" t="str">
            <v>Support &amp; CSM</v>
          </cell>
          <cell r="C57" t="str">
            <v>管理费用</v>
          </cell>
        </row>
        <row r="58">
          <cell r="A58" t="str">
            <v>陈吴飞</v>
          </cell>
          <cell r="B58" t="str">
            <v>R&amp;D</v>
          </cell>
          <cell r="C58" t="str">
            <v>研发费用</v>
          </cell>
        </row>
        <row r="59">
          <cell r="A59" t="str">
            <v>乔毓华</v>
          </cell>
          <cell r="B59" t="str">
            <v>PM&amp;UED</v>
          </cell>
          <cell r="C59" t="str">
            <v>研发费用</v>
          </cell>
        </row>
        <row r="60">
          <cell r="A60" t="str">
            <v>高聪聪</v>
          </cell>
          <cell r="B60" t="str">
            <v>PM&amp;UED</v>
          </cell>
          <cell r="C60" t="str">
            <v>研发费用</v>
          </cell>
        </row>
        <row r="61">
          <cell r="A61" t="str">
            <v>沈倩</v>
          </cell>
          <cell r="B61" t="str">
            <v>Revenue Recovery</v>
          </cell>
          <cell r="C61" t="str">
            <v>管理费用</v>
          </cell>
        </row>
        <row r="62">
          <cell r="A62" t="str">
            <v>王梦晨</v>
          </cell>
          <cell r="B62" t="str">
            <v>R&amp;D</v>
          </cell>
          <cell r="C62" t="str">
            <v>研发费用</v>
          </cell>
        </row>
        <row r="63">
          <cell r="A63" t="str">
            <v>苑辉辉</v>
          </cell>
          <cell r="B63" t="str">
            <v>R&amp;D</v>
          </cell>
          <cell r="C63" t="str">
            <v>研发费用</v>
          </cell>
        </row>
        <row r="64">
          <cell r="A64" t="str">
            <v>王宇</v>
          </cell>
          <cell r="B64" t="str">
            <v>R&amp;D</v>
          </cell>
          <cell r="C64" t="str">
            <v>研发费用</v>
          </cell>
        </row>
        <row r="65">
          <cell r="A65" t="str">
            <v>黄含</v>
          </cell>
          <cell r="B65" t="str">
            <v>Ian Team</v>
          </cell>
          <cell r="C65" t="str">
            <v>管理费用</v>
          </cell>
        </row>
        <row r="66">
          <cell r="A66" t="str">
            <v>朱俐</v>
          </cell>
          <cell r="B66" t="str">
            <v>Revenue Recovery</v>
          </cell>
          <cell r="C66" t="str">
            <v>管理费用</v>
          </cell>
        </row>
        <row r="67">
          <cell r="A67" t="str">
            <v>王涛</v>
          </cell>
          <cell r="B67" t="str">
            <v>R&amp;D</v>
          </cell>
          <cell r="C67" t="str">
            <v>研发费用</v>
          </cell>
        </row>
        <row r="68">
          <cell r="A68" t="str">
            <v>陈嘉龙</v>
          </cell>
          <cell r="B68" t="str">
            <v>R&amp;D</v>
          </cell>
          <cell r="C68" t="str">
            <v>研发费用</v>
          </cell>
        </row>
        <row r="69">
          <cell r="A69" t="str">
            <v>秦铮铮</v>
          </cell>
          <cell r="B69" t="str">
            <v>Yumin Team</v>
          </cell>
          <cell r="C69" t="str">
            <v>管理费用</v>
          </cell>
        </row>
        <row r="70">
          <cell r="A70" t="str">
            <v>孟繁泽</v>
          </cell>
          <cell r="B70" t="str">
            <v>R&amp;D</v>
          </cell>
          <cell r="C70" t="str">
            <v>研发费用</v>
          </cell>
        </row>
        <row r="71">
          <cell r="A71" t="str">
            <v>关舒阳</v>
          </cell>
          <cell r="B71" t="str">
            <v>R&amp;D</v>
          </cell>
          <cell r="C71" t="str">
            <v>研发费用</v>
          </cell>
        </row>
        <row r="72">
          <cell r="A72" t="str">
            <v>闵信超</v>
          </cell>
          <cell r="B72" t="str">
            <v>R&amp;D</v>
          </cell>
          <cell r="C72" t="str">
            <v>研发费用</v>
          </cell>
        </row>
        <row r="73">
          <cell r="A73" t="str">
            <v>王锦超</v>
          </cell>
          <cell r="B73" t="str">
            <v>R&amp;D</v>
          </cell>
          <cell r="C73" t="str">
            <v>研发费用</v>
          </cell>
        </row>
        <row r="74">
          <cell r="A74" t="str">
            <v>高诗</v>
          </cell>
          <cell r="B74" t="str">
            <v>R&amp;D</v>
          </cell>
          <cell r="C74" t="str">
            <v>研发费用</v>
          </cell>
        </row>
        <row r="75">
          <cell r="A75" t="str">
            <v>刘京宁</v>
          </cell>
          <cell r="B75" t="str">
            <v>Yumin Team</v>
          </cell>
          <cell r="C75" t="str">
            <v>管理费用</v>
          </cell>
        </row>
        <row r="76">
          <cell r="A76" t="str">
            <v>姜智明</v>
          </cell>
          <cell r="B76" t="str">
            <v>PM&amp;UED</v>
          </cell>
          <cell r="C76" t="str">
            <v>研发费用</v>
          </cell>
        </row>
        <row r="77">
          <cell r="A77" t="str">
            <v>包梦洁</v>
          </cell>
          <cell r="B77" t="str">
            <v>Support &amp; CSM</v>
          </cell>
          <cell r="C77" t="str">
            <v>管理费用</v>
          </cell>
        </row>
        <row r="78">
          <cell r="A78" t="str">
            <v>宋欣雨</v>
          </cell>
          <cell r="B78" t="str">
            <v>PM&amp;UED</v>
          </cell>
          <cell r="C78" t="str">
            <v>研发费用</v>
          </cell>
        </row>
        <row r="79">
          <cell r="A79" t="str">
            <v>林张思凡</v>
          </cell>
          <cell r="B79" t="str">
            <v>R&amp;D</v>
          </cell>
          <cell r="C79" t="str">
            <v>研发费用</v>
          </cell>
        </row>
        <row r="80">
          <cell r="A80" t="str">
            <v>刘晶鑫</v>
          </cell>
          <cell r="B80" t="str">
            <v>PM&amp;UED</v>
          </cell>
          <cell r="C80" t="str">
            <v>研发费用</v>
          </cell>
        </row>
        <row r="81">
          <cell r="A81" t="str">
            <v>周晶晶</v>
          </cell>
          <cell r="B81" t="str">
            <v>R&amp;D</v>
          </cell>
          <cell r="C81" t="str">
            <v>研发费用</v>
          </cell>
        </row>
        <row r="82">
          <cell r="A82" t="str">
            <v>刘晓琪</v>
          </cell>
          <cell r="B82" t="str">
            <v>R&amp;D</v>
          </cell>
          <cell r="C82" t="str">
            <v>研发费用</v>
          </cell>
        </row>
        <row r="83">
          <cell r="A83" t="str">
            <v>陈以致</v>
          </cell>
          <cell r="B83" t="str">
            <v>PM&amp;UED</v>
          </cell>
          <cell r="C83" t="str">
            <v>研发费用</v>
          </cell>
        </row>
        <row r="84">
          <cell r="A84" t="str">
            <v>朱骏晨</v>
          </cell>
          <cell r="B84" t="str">
            <v>R&amp;D</v>
          </cell>
          <cell r="C84" t="str">
            <v>研发费用</v>
          </cell>
        </row>
        <row r="85">
          <cell r="A85" t="str">
            <v>高雪玲</v>
          </cell>
          <cell r="B85" t="str">
            <v>R&amp;D</v>
          </cell>
          <cell r="C85" t="str">
            <v>研发费用</v>
          </cell>
        </row>
        <row r="86">
          <cell r="A86" t="str">
            <v>潘佳豪</v>
          </cell>
          <cell r="B86" t="str">
            <v>R&amp;D</v>
          </cell>
          <cell r="C86" t="str">
            <v>研发费用</v>
          </cell>
        </row>
        <row r="87">
          <cell r="A87" t="str">
            <v>刘晓东</v>
          </cell>
          <cell r="B87" t="str">
            <v>R&amp;D</v>
          </cell>
          <cell r="C87" t="str">
            <v>研发费用</v>
          </cell>
        </row>
        <row r="88">
          <cell r="A88" t="str">
            <v>徐德胜</v>
          </cell>
          <cell r="B88" t="str">
            <v>R&amp;D</v>
          </cell>
          <cell r="C88" t="str">
            <v>研发费用</v>
          </cell>
        </row>
        <row r="89">
          <cell r="A89" t="str">
            <v>浦霖宇</v>
          </cell>
          <cell r="B89" t="str">
            <v>R&amp;D</v>
          </cell>
          <cell r="C89" t="str">
            <v>研发费用</v>
          </cell>
        </row>
        <row r="90">
          <cell r="A90" t="str">
            <v>刘骥</v>
          </cell>
          <cell r="B90" t="str">
            <v>R&amp;D</v>
          </cell>
          <cell r="C90" t="str">
            <v>研发费用</v>
          </cell>
        </row>
        <row r="91">
          <cell r="A91" t="str">
            <v>章琦</v>
          </cell>
          <cell r="B91" t="str">
            <v>Yumin Team</v>
          </cell>
          <cell r="C91" t="str">
            <v>管理费用</v>
          </cell>
        </row>
        <row r="92">
          <cell r="A92" t="str">
            <v>汪蒙蒙</v>
          </cell>
          <cell r="B92" t="str">
            <v>R&amp;D</v>
          </cell>
          <cell r="C92" t="str">
            <v>研发费用</v>
          </cell>
        </row>
        <row r="93">
          <cell r="A93" t="str">
            <v>李凯</v>
          </cell>
          <cell r="B93" t="str">
            <v>PM&amp;UED</v>
          </cell>
          <cell r="C93" t="str">
            <v>研发费用</v>
          </cell>
        </row>
        <row r="94">
          <cell r="A94" t="str">
            <v>张艺馨</v>
          </cell>
          <cell r="B94" t="str">
            <v>PM&amp;UED</v>
          </cell>
          <cell r="C94" t="str">
            <v>研发费用</v>
          </cell>
        </row>
        <row r="95">
          <cell r="A95" t="str">
            <v>喻文</v>
          </cell>
          <cell r="B95" t="str">
            <v>R&amp;D</v>
          </cell>
          <cell r="C95" t="str">
            <v>研发费用</v>
          </cell>
        </row>
        <row r="96">
          <cell r="A96" t="str">
            <v>薛超越</v>
          </cell>
          <cell r="B96" t="str">
            <v>R&amp;D</v>
          </cell>
          <cell r="C96" t="str">
            <v>研发费用</v>
          </cell>
        </row>
        <row r="97">
          <cell r="A97" t="str">
            <v>丁天利</v>
          </cell>
          <cell r="B97" t="str">
            <v>R&amp;D</v>
          </cell>
          <cell r="C97" t="str">
            <v>研发费用</v>
          </cell>
        </row>
        <row r="98">
          <cell r="A98" t="str">
            <v>舒舟</v>
          </cell>
          <cell r="B98" t="str">
            <v>PM&amp;UED</v>
          </cell>
          <cell r="C98" t="str">
            <v>研发费用</v>
          </cell>
        </row>
        <row r="99">
          <cell r="A99" t="str">
            <v>任义</v>
          </cell>
          <cell r="B99" t="str">
            <v>R&amp;D</v>
          </cell>
          <cell r="C99" t="str">
            <v>研发费用</v>
          </cell>
        </row>
        <row r="100">
          <cell r="A100" t="str">
            <v>江峰</v>
          </cell>
          <cell r="B100" t="str">
            <v>R&amp;D</v>
          </cell>
          <cell r="C100" t="str">
            <v>研发费用</v>
          </cell>
        </row>
        <row r="101">
          <cell r="A101" t="str">
            <v>刘东琦</v>
          </cell>
          <cell r="B101" t="str">
            <v>R&amp;D</v>
          </cell>
          <cell r="C101" t="str">
            <v>研发费用</v>
          </cell>
        </row>
        <row r="102">
          <cell r="A102" t="str">
            <v>栾兴通</v>
          </cell>
          <cell r="B102" t="str">
            <v>R&amp;D</v>
          </cell>
          <cell r="C102" t="str">
            <v>研发费用</v>
          </cell>
        </row>
        <row r="103">
          <cell r="A103" t="str">
            <v>金彦闯</v>
          </cell>
          <cell r="B103" t="str">
            <v>R&amp;D</v>
          </cell>
          <cell r="C103" t="str">
            <v>研发费用</v>
          </cell>
        </row>
        <row r="104">
          <cell r="A104" t="str">
            <v>吴勇勇</v>
          </cell>
          <cell r="B104" t="str">
            <v>R&amp;D</v>
          </cell>
          <cell r="C104" t="str">
            <v>研发费用</v>
          </cell>
        </row>
        <row r="105">
          <cell r="A105" t="str">
            <v>许佳康</v>
          </cell>
          <cell r="B105" t="str">
            <v>Revenue Recovery</v>
          </cell>
          <cell r="C105" t="str">
            <v>管理费用</v>
          </cell>
        </row>
        <row r="106">
          <cell r="A106" t="str">
            <v>刘健</v>
          </cell>
          <cell r="B106" t="str">
            <v>PM&amp;UED</v>
          </cell>
          <cell r="C106" t="str">
            <v>研发费用</v>
          </cell>
        </row>
        <row r="107">
          <cell r="A107" t="str">
            <v>刘鹏</v>
          </cell>
          <cell r="B107" t="str">
            <v>R&amp;D</v>
          </cell>
          <cell r="C107" t="str">
            <v>研发费用</v>
          </cell>
        </row>
        <row r="108">
          <cell r="A108" t="str">
            <v>洪移潮</v>
          </cell>
          <cell r="B108" t="str">
            <v>R&amp;D</v>
          </cell>
          <cell r="C108" t="str">
            <v>研发费用</v>
          </cell>
        </row>
        <row r="109">
          <cell r="A109" t="str">
            <v>刘瑞敏</v>
          </cell>
          <cell r="B109" t="str">
            <v>R&amp;D</v>
          </cell>
          <cell r="C109" t="str">
            <v>研发费用</v>
          </cell>
        </row>
        <row r="110">
          <cell r="A110" t="str">
            <v>胡凯旺</v>
          </cell>
          <cell r="B110" t="str">
            <v>R&amp;D</v>
          </cell>
          <cell r="C110" t="str">
            <v>研发费用</v>
          </cell>
        </row>
        <row r="111">
          <cell r="A111" t="str">
            <v>刘芳</v>
          </cell>
          <cell r="B111" t="str">
            <v>PM&amp;UED</v>
          </cell>
          <cell r="C111" t="str">
            <v>研发费用</v>
          </cell>
        </row>
        <row r="112">
          <cell r="A112" t="str">
            <v>李启明</v>
          </cell>
          <cell r="B112" t="str">
            <v>R&amp;D</v>
          </cell>
          <cell r="C112" t="str">
            <v>研发费用</v>
          </cell>
        </row>
        <row r="113">
          <cell r="A113" t="str">
            <v>金森浩</v>
          </cell>
          <cell r="B113" t="str">
            <v>R&amp;D</v>
          </cell>
          <cell r="C113" t="str">
            <v>研发费用</v>
          </cell>
        </row>
        <row r="114">
          <cell r="A114" t="str">
            <v>赵天</v>
          </cell>
          <cell r="B114" t="str">
            <v>Ian Team</v>
          </cell>
          <cell r="C114" t="str">
            <v>管理费用</v>
          </cell>
        </row>
        <row r="115">
          <cell r="A115" t="str">
            <v>朱森浩</v>
          </cell>
          <cell r="B115" t="str">
            <v>R&amp;D</v>
          </cell>
          <cell r="C115" t="str">
            <v>研发费用</v>
          </cell>
        </row>
        <row r="116">
          <cell r="A116" t="str">
            <v>姚遥</v>
          </cell>
          <cell r="B116" t="str">
            <v>R&amp;D</v>
          </cell>
          <cell r="C116" t="str">
            <v>研发费用</v>
          </cell>
        </row>
        <row r="117">
          <cell r="A117" t="str">
            <v>陈浩</v>
          </cell>
          <cell r="B117" t="str">
            <v>R&amp;D</v>
          </cell>
          <cell r="C117" t="str">
            <v>研发费用</v>
          </cell>
        </row>
        <row r="118">
          <cell r="A118" t="str">
            <v>贺骏</v>
          </cell>
          <cell r="B118" t="str">
            <v>R&amp;D</v>
          </cell>
          <cell r="C118" t="str">
            <v>研发费用</v>
          </cell>
        </row>
        <row r="119">
          <cell r="A119" t="str">
            <v>姚朱依</v>
          </cell>
          <cell r="B119" t="str">
            <v>PM&amp;UED</v>
          </cell>
          <cell r="C119" t="str">
            <v>研发费用</v>
          </cell>
        </row>
        <row r="120">
          <cell r="A120" t="str">
            <v>郑志华</v>
          </cell>
          <cell r="B120" t="str">
            <v>R&amp;D</v>
          </cell>
          <cell r="C120" t="str">
            <v>研发费用</v>
          </cell>
        </row>
        <row r="121">
          <cell r="A121" t="str">
            <v>肖潇</v>
          </cell>
          <cell r="B121" t="str">
            <v>Yumin Team</v>
          </cell>
          <cell r="C121" t="str">
            <v>管理费用</v>
          </cell>
        </row>
        <row r="122">
          <cell r="A122" t="str">
            <v>向诗瑶</v>
          </cell>
          <cell r="B122" t="str">
            <v>Ian Team</v>
          </cell>
          <cell r="C122" t="str">
            <v>管理费用</v>
          </cell>
        </row>
        <row r="123">
          <cell r="A123" t="str">
            <v>许君强</v>
          </cell>
          <cell r="B123" t="str">
            <v>R&amp;D</v>
          </cell>
          <cell r="C123" t="str">
            <v>研发费用</v>
          </cell>
        </row>
        <row r="124">
          <cell r="A124" t="str">
            <v>王怀超</v>
          </cell>
          <cell r="B124" t="str">
            <v>R&amp;D</v>
          </cell>
          <cell r="C124" t="str">
            <v>研发费用</v>
          </cell>
        </row>
        <row r="125">
          <cell r="A125" t="str">
            <v>钱淳</v>
          </cell>
          <cell r="B125" t="str">
            <v>Yumin Team</v>
          </cell>
          <cell r="C125" t="str">
            <v>管理费用</v>
          </cell>
        </row>
        <row r="126">
          <cell r="A126" t="str">
            <v>叶茂</v>
          </cell>
          <cell r="B126" t="str">
            <v>R&amp;D</v>
          </cell>
          <cell r="C126" t="str">
            <v>研发费用</v>
          </cell>
        </row>
        <row r="127">
          <cell r="A127" t="str">
            <v>殷艳祺</v>
          </cell>
          <cell r="B127" t="str">
            <v>Yumin Team</v>
          </cell>
          <cell r="C127" t="str">
            <v>管理费用</v>
          </cell>
        </row>
        <row r="128">
          <cell r="A128" t="str">
            <v>金大伟</v>
          </cell>
          <cell r="B128" t="str">
            <v>R&amp;D</v>
          </cell>
          <cell r="C128" t="str">
            <v>研发费用</v>
          </cell>
        </row>
        <row r="129">
          <cell r="A129" t="str">
            <v>蔡婧妍</v>
          </cell>
          <cell r="B129" t="str">
            <v>R&amp;D</v>
          </cell>
          <cell r="C129" t="str">
            <v>研发费用</v>
          </cell>
        </row>
        <row r="130">
          <cell r="A130" t="str">
            <v>夏寅海</v>
          </cell>
          <cell r="B130" t="str">
            <v>R&amp;D</v>
          </cell>
          <cell r="C130" t="str">
            <v>研发费用</v>
          </cell>
        </row>
        <row r="131">
          <cell r="A131" t="str">
            <v>张均安</v>
          </cell>
          <cell r="B131" t="str">
            <v>PM&amp;UED</v>
          </cell>
          <cell r="C131" t="str">
            <v>研发费用</v>
          </cell>
        </row>
        <row r="132">
          <cell r="A132" t="str">
            <v>张丙胜</v>
          </cell>
          <cell r="B132" t="str">
            <v>R&amp;D</v>
          </cell>
          <cell r="C132" t="str">
            <v>研发费用</v>
          </cell>
        </row>
        <row r="133">
          <cell r="A133" t="str">
            <v>董雪</v>
          </cell>
          <cell r="B133" t="str">
            <v>Revenue Recovery</v>
          </cell>
          <cell r="C133" t="str">
            <v>管理费用</v>
          </cell>
        </row>
        <row r="134">
          <cell r="A134" t="str">
            <v>李晓霞</v>
          </cell>
          <cell r="B134" t="str">
            <v>Revenue Recovery</v>
          </cell>
          <cell r="C134" t="str">
            <v>管理费用</v>
          </cell>
        </row>
        <row r="135">
          <cell r="A135" t="str">
            <v>蔡鹏</v>
          </cell>
          <cell r="B135" t="str">
            <v>R&amp;D</v>
          </cell>
          <cell r="C135" t="str">
            <v>研发费用</v>
          </cell>
        </row>
        <row r="136">
          <cell r="A136" t="str">
            <v>谢雅婷</v>
          </cell>
          <cell r="B136" t="str">
            <v>PM&amp;UED</v>
          </cell>
          <cell r="C136" t="str">
            <v>研发费用</v>
          </cell>
        </row>
        <row r="137">
          <cell r="A137" t="str">
            <v>蔡佳菡</v>
          </cell>
          <cell r="B137" t="str">
            <v>HR</v>
          </cell>
          <cell r="C137" t="str">
            <v>管理费用</v>
          </cell>
        </row>
        <row r="138">
          <cell r="A138" t="str">
            <v>黄仁森</v>
          </cell>
          <cell r="B138" t="str">
            <v>R&amp;D</v>
          </cell>
          <cell r="C138" t="str">
            <v>研发费用</v>
          </cell>
        </row>
        <row r="139">
          <cell r="A139" t="str">
            <v>王淼</v>
          </cell>
          <cell r="B139" t="str">
            <v>PM&amp;UED</v>
          </cell>
          <cell r="C139" t="str">
            <v>研发费用</v>
          </cell>
        </row>
        <row r="140">
          <cell r="A140" t="str">
            <v>陈景</v>
          </cell>
          <cell r="B140" t="str">
            <v>R&amp;D</v>
          </cell>
          <cell r="C140" t="str">
            <v>研发费用</v>
          </cell>
        </row>
        <row r="141">
          <cell r="A141" t="str">
            <v>李璐</v>
          </cell>
          <cell r="B141" t="str">
            <v>R&amp;D</v>
          </cell>
          <cell r="C141" t="str">
            <v>研发费用</v>
          </cell>
        </row>
        <row r="142">
          <cell r="A142" t="str">
            <v>鲍雯雯</v>
          </cell>
          <cell r="B142" t="str">
            <v>Revenue Recovery</v>
          </cell>
          <cell r="C142" t="str">
            <v>管理费用</v>
          </cell>
        </row>
        <row r="143">
          <cell r="A143" t="str">
            <v>陈欢</v>
          </cell>
          <cell r="B143" t="str">
            <v>R&amp;D</v>
          </cell>
          <cell r="C143" t="str">
            <v>研发费用</v>
          </cell>
        </row>
        <row r="144">
          <cell r="A144" t="str">
            <v>付文明</v>
          </cell>
          <cell r="B144" t="str">
            <v>R&amp;D</v>
          </cell>
          <cell r="C144" t="str">
            <v>研发费用</v>
          </cell>
        </row>
        <row r="145">
          <cell r="A145" t="str">
            <v>马永义</v>
          </cell>
          <cell r="B145" t="str">
            <v>R&amp;D</v>
          </cell>
          <cell r="C145" t="str">
            <v>研发费用</v>
          </cell>
        </row>
        <row r="146">
          <cell r="A146" t="str">
            <v>张鹏</v>
          </cell>
          <cell r="B146" t="str">
            <v>R&amp;D</v>
          </cell>
          <cell r="C146" t="str">
            <v>研发费用</v>
          </cell>
        </row>
        <row r="147">
          <cell r="A147" t="str">
            <v>贺明慧</v>
          </cell>
          <cell r="B147" t="str">
            <v>R&amp;D</v>
          </cell>
          <cell r="C147" t="str">
            <v>研发费用</v>
          </cell>
        </row>
        <row r="148">
          <cell r="A148" t="str">
            <v>严勇</v>
          </cell>
          <cell r="B148" t="str">
            <v>R&amp;D</v>
          </cell>
          <cell r="C148" t="str">
            <v>研发费用</v>
          </cell>
        </row>
        <row r="149">
          <cell r="A149" t="str">
            <v>秦旺进</v>
          </cell>
          <cell r="B149" t="str">
            <v>R&amp;D</v>
          </cell>
          <cell r="C149" t="str">
            <v>研发费用</v>
          </cell>
        </row>
        <row r="150">
          <cell r="A150" t="str">
            <v>沈婷婷</v>
          </cell>
          <cell r="B150" t="str">
            <v>Yumin Team</v>
          </cell>
          <cell r="C150" t="str">
            <v>管理费用</v>
          </cell>
        </row>
        <row r="151">
          <cell r="A151" t="str">
            <v>李维文</v>
          </cell>
          <cell r="B151" t="str">
            <v>R&amp;D</v>
          </cell>
          <cell r="C151" t="str">
            <v>研发费用</v>
          </cell>
        </row>
        <row r="152">
          <cell r="A152" t="str">
            <v>赵家雄</v>
          </cell>
          <cell r="B152" t="str">
            <v>R&amp;D</v>
          </cell>
          <cell r="C152" t="str">
            <v>研发费用</v>
          </cell>
        </row>
        <row r="153">
          <cell r="A153" t="str">
            <v>高伟</v>
          </cell>
          <cell r="B153" t="str">
            <v>R&amp;D</v>
          </cell>
          <cell r="C153" t="str">
            <v>研发费用</v>
          </cell>
        </row>
        <row r="154">
          <cell r="A154" t="str">
            <v>袁振</v>
          </cell>
          <cell r="B154" t="str">
            <v>R&amp;D</v>
          </cell>
          <cell r="C154" t="str">
            <v>研发费用</v>
          </cell>
        </row>
        <row r="155">
          <cell r="A155" t="str">
            <v>何伯庆</v>
          </cell>
          <cell r="B155" t="str">
            <v>R&amp;D</v>
          </cell>
          <cell r="C155" t="str">
            <v>研发费用</v>
          </cell>
        </row>
        <row r="156">
          <cell r="A156" t="str">
            <v>陈凯</v>
          </cell>
          <cell r="B156" t="str">
            <v>PM&amp;UED</v>
          </cell>
          <cell r="C156" t="str">
            <v>研发费用</v>
          </cell>
        </row>
        <row r="157">
          <cell r="A157" t="str">
            <v>耿婉晨</v>
          </cell>
          <cell r="B157" t="str">
            <v>PM&amp;UED</v>
          </cell>
          <cell r="C157" t="str">
            <v>研发费用</v>
          </cell>
        </row>
        <row r="158">
          <cell r="A158" t="str">
            <v>皇甫苗苗</v>
          </cell>
          <cell r="B158" t="str">
            <v>R&amp;D</v>
          </cell>
          <cell r="C158" t="str">
            <v>研发费用</v>
          </cell>
        </row>
        <row r="159">
          <cell r="A159" t="str">
            <v>胡东明</v>
          </cell>
          <cell r="B159" t="str">
            <v>R&amp;D</v>
          </cell>
          <cell r="C159" t="str">
            <v>研发费用</v>
          </cell>
        </row>
        <row r="160">
          <cell r="A160" t="str">
            <v>关贝贝</v>
          </cell>
          <cell r="B160" t="str">
            <v>R&amp;D</v>
          </cell>
          <cell r="C160" t="str">
            <v>研发费用</v>
          </cell>
        </row>
        <row r="161">
          <cell r="A161" t="str">
            <v>孙冬冬</v>
          </cell>
          <cell r="B161" t="str">
            <v>R&amp;D</v>
          </cell>
          <cell r="C161" t="str">
            <v>研发费用</v>
          </cell>
        </row>
        <row r="162">
          <cell r="A162" t="str">
            <v>周俊晨</v>
          </cell>
          <cell r="B162" t="str">
            <v>R&amp;D</v>
          </cell>
          <cell r="C162" t="str">
            <v>研发费用</v>
          </cell>
        </row>
        <row r="163">
          <cell r="A163" t="str">
            <v>吕溢</v>
          </cell>
          <cell r="B163" t="str">
            <v>R&amp;D</v>
          </cell>
          <cell r="C163" t="str">
            <v>研发费用</v>
          </cell>
        </row>
        <row r="164">
          <cell r="A164" t="str">
            <v>高玉民</v>
          </cell>
          <cell r="B164" t="str">
            <v>Yumin Team</v>
          </cell>
          <cell r="C164" t="str">
            <v>管理费用</v>
          </cell>
        </row>
        <row r="165">
          <cell r="A165" t="str">
            <v>汪昊楠</v>
          </cell>
          <cell r="B165" t="str">
            <v>PM&amp;UED</v>
          </cell>
          <cell r="C165" t="str">
            <v>研发费用</v>
          </cell>
        </row>
        <row r="166">
          <cell r="A166" t="str">
            <v>锁伟伟</v>
          </cell>
          <cell r="B166" t="str">
            <v>R&amp;D</v>
          </cell>
          <cell r="C166" t="str">
            <v>研发费用</v>
          </cell>
        </row>
        <row r="167">
          <cell r="A167" t="str">
            <v>姬礼</v>
          </cell>
          <cell r="B167" t="str">
            <v>R&amp;D</v>
          </cell>
          <cell r="C167" t="str">
            <v>研发费用</v>
          </cell>
        </row>
        <row r="168">
          <cell r="A168" t="str">
            <v>杨泽宇</v>
          </cell>
          <cell r="B168" t="str">
            <v>R&amp;D</v>
          </cell>
          <cell r="C168" t="str">
            <v>研发费用</v>
          </cell>
        </row>
        <row r="169">
          <cell r="A169" t="str">
            <v>杨正寅</v>
          </cell>
          <cell r="B169" t="str">
            <v>PM&amp;UED</v>
          </cell>
          <cell r="C169" t="str">
            <v>研发费用</v>
          </cell>
        </row>
        <row r="170">
          <cell r="A170" t="str">
            <v>王鑫</v>
          </cell>
          <cell r="B170" t="str">
            <v>PM&amp;UED</v>
          </cell>
          <cell r="C170" t="str">
            <v>研发费用</v>
          </cell>
        </row>
        <row r="171">
          <cell r="A171" t="str">
            <v>杨艳艳</v>
          </cell>
          <cell r="B171" t="str">
            <v>PM&amp;UED</v>
          </cell>
          <cell r="C171" t="str">
            <v>研发费用</v>
          </cell>
        </row>
        <row r="172">
          <cell r="A172" t="str">
            <v>王忆文</v>
          </cell>
          <cell r="B172" t="str">
            <v>R&amp;D</v>
          </cell>
          <cell r="C172" t="str">
            <v>研发费用</v>
          </cell>
        </row>
        <row r="173">
          <cell r="A173" t="str">
            <v>范芊芸</v>
          </cell>
          <cell r="B173" t="str">
            <v>PM&amp;UED</v>
          </cell>
          <cell r="C173" t="str">
            <v>研发费用</v>
          </cell>
        </row>
        <row r="174">
          <cell r="A174" t="str">
            <v>刘沿佰</v>
          </cell>
          <cell r="B174" t="str">
            <v>Support &amp; CSM</v>
          </cell>
          <cell r="C174" t="str">
            <v>管理费用</v>
          </cell>
        </row>
        <row r="175">
          <cell r="A175" t="str">
            <v>何婧</v>
          </cell>
          <cell r="B175" t="str">
            <v>PM&amp;UED</v>
          </cell>
          <cell r="C175" t="str">
            <v>研发费用</v>
          </cell>
        </row>
        <row r="176">
          <cell r="A176" t="str">
            <v>方玲</v>
          </cell>
          <cell r="B176" t="str">
            <v>R&amp;D</v>
          </cell>
          <cell r="C176" t="str">
            <v>研发费用</v>
          </cell>
        </row>
        <row r="177">
          <cell r="A177" t="str">
            <v>吴海珠</v>
          </cell>
          <cell r="B177" t="str">
            <v>HR</v>
          </cell>
          <cell r="C177" t="str">
            <v>管理费用</v>
          </cell>
        </row>
        <row r="178">
          <cell r="A178" t="str">
            <v>梅宝文</v>
          </cell>
          <cell r="B178" t="str">
            <v>R&amp;D</v>
          </cell>
          <cell r="C178" t="str">
            <v>研发费用</v>
          </cell>
        </row>
        <row r="179">
          <cell r="A179" t="str">
            <v>张熠</v>
          </cell>
          <cell r="B179" t="str">
            <v>R&amp;D</v>
          </cell>
          <cell r="C179" t="str">
            <v>研发费用</v>
          </cell>
        </row>
        <row r="180">
          <cell r="A180" t="str">
            <v>罗思之</v>
          </cell>
          <cell r="B180" t="str">
            <v>R&amp;D</v>
          </cell>
          <cell r="C180" t="str">
            <v>研发费用</v>
          </cell>
        </row>
        <row r="181">
          <cell r="A181" t="str">
            <v>吕冰心</v>
          </cell>
          <cell r="B181" t="str">
            <v>HR</v>
          </cell>
          <cell r="C181" t="str">
            <v>管理费用</v>
          </cell>
        </row>
        <row r="182">
          <cell r="A182" t="str">
            <v>丁宇帅</v>
          </cell>
          <cell r="B182" t="str">
            <v>PM&amp;UED</v>
          </cell>
          <cell r="C182" t="str">
            <v>研发费用</v>
          </cell>
        </row>
        <row r="183">
          <cell r="A183" t="str">
            <v>侯雪琳</v>
          </cell>
          <cell r="B183" t="str">
            <v>R&amp;D</v>
          </cell>
          <cell r="C183" t="str">
            <v>研发费用</v>
          </cell>
        </row>
        <row r="184">
          <cell r="A184" t="str">
            <v>周铮晖</v>
          </cell>
          <cell r="B184" t="str">
            <v>Support &amp; CSM</v>
          </cell>
          <cell r="C184" t="str">
            <v>管理费用</v>
          </cell>
        </row>
        <row r="185">
          <cell r="A185" t="str">
            <v>徐兴宇</v>
          </cell>
          <cell r="B185" t="str">
            <v>R&amp;D</v>
          </cell>
          <cell r="C185" t="str">
            <v>研发费用</v>
          </cell>
        </row>
        <row r="186">
          <cell r="A186" t="str">
            <v>周洁</v>
          </cell>
          <cell r="B186" t="str">
            <v>Revenue Recovery</v>
          </cell>
          <cell r="C186" t="str">
            <v>管理费用</v>
          </cell>
        </row>
        <row r="187">
          <cell r="A187" t="str">
            <v>陈铭辉</v>
          </cell>
          <cell r="B187" t="str">
            <v>R&amp;D</v>
          </cell>
          <cell r="C187" t="str">
            <v>研发费用</v>
          </cell>
        </row>
        <row r="188">
          <cell r="A188" t="str">
            <v>丁宇亚</v>
          </cell>
          <cell r="B188" t="str">
            <v>R&amp;D</v>
          </cell>
          <cell r="C188" t="str">
            <v>研发费用</v>
          </cell>
        </row>
        <row r="189">
          <cell r="A189" t="str">
            <v>张安谊</v>
          </cell>
          <cell r="B189" t="str">
            <v>R&amp;D</v>
          </cell>
          <cell r="C189" t="str">
            <v>研发费用</v>
          </cell>
        </row>
        <row r="190">
          <cell r="A190" t="str">
            <v>沈思</v>
          </cell>
          <cell r="B190" t="str">
            <v>Revenue Recovery</v>
          </cell>
          <cell r="C190" t="str">
            <v>管理费用</v>
          </cell>
        </row>
        <row r="191">
          <cell r="A191" t="str">
            <v>袁礼贤</v>
          </cell>
          <cell r="B191" t="str">
            <v>R&amp;D</v>
          </cell>
          <cell r="C191" t="str">
            <v>研发费用</v>
          </cell>
        </row>
        <row r="192">
          <cell r="A192" t="str">
            <v>祝磊</v>
          </cell>
          <cell r="B192" t="str">
            <v>R&amp;D</v>
          </cell>
          <cell r="C192" t="str">
            <v>研发费用</v>
          </cell>
        </row>
        <row r="193">
          <cell r="A193" t="str">
            <v>陈雨</v>
          </cell>
          <cell r="B193" t="str">
            <v>R&amp;D</v>
          </cell>
          <cell r="C193" t="str">
            <v>研发费用</v>
          </cell>
        </row>
        <row r="194">
          <cell r="A194" t="str">
            <v>杨文博</v>
          </cell>
          <cell r="B194" t="str">
            <v>R&amp;D</v>
          </cell>
          <cell r="C194" t="str">
            <v>研发费用</v>
          </cell>
        </row>
        <row r="195">
          <cell r="A195" t="str">
            <v>张丽</v>
          </cell>
          <cell r="B195" t="str">
            <v>PM&amp;UED</v>
          </cell>
          <cell r="C195" t="str">
            <v>研发费用</v>
          </cell>
        </row>
        <row r="196">
          <cell r="A196" t="str">
            <v>朱少波</v>
          </cell>
          <cell r="B196" t="str">
            <v>R&amp;D</v>
          </cell>
          <cell r="C196" t="str">
            <v>研发费用</v>
          </cell>
        </row>
        <row r="197">
          <cell r="A197" t="str">
            <v>张少波</v>
          </cell>
          <cell r="B197" t="str">
            <v>R&amp;D</v>
          </cell>
          <cell r="C197" t="str">
            <v>研发费用</v>
          </cell>
        </row>
        <row r="198">
          <cell r="A198" t="str">
            <v>何雨馨</v>
          </cell>
          <cell r="B198" t="str">
            <v>Support &amp; CSM</v>
          </cell>
          <cell r="C198" t="str">
            <v>管理费用</v>
          </cell>
        </row>
        <row r="199">
          <cell r="A199" t="str">
            <v>王树鑫</v>
          </cell>
          <cell r="B199" t="str">
            <v>R&amp;D</v>
          </cell>
          <cell r="C199" t="str">
            <v>研发费用</v>
          </cell>
        </row>
        <row r="200">
          <cell r="A200" t="str">
            <v>李昕瑶</v>
          </cell>
          <cell r="B200" t="str">
            <v>Support &amp; CSM</v>
          </cell>
          <cell r="C200" t="str">
            <v>管理费用</v>
          </cell>
        </row>
        <row r="201">
          <cell r="A201" t="str">
            <v>汪宇</v>
          </cell>
          <cell r="B201" t="str">
            <v>Support &amp; CSM</v>
          </cell>
          <cell r="C201" t="str">
            <v>管理费用</v>
          </cell>
        </row>
        <row r="202">
          <cell r="A202" t="str">
            <v>陆佳慧</v>
          </cell>
          <cell r="B202" t="str">
            <v>Support &amp; CSM</v>
          </cell>
          <cell r="C202" t="str">
            <v>管理费用</v>
          </cell>
        </row>
        <row r="203">
          <cell r="A203" t="str">
            <v>秦奥运</v>
          </cell>
          <cell r="B203" t="str">
            <v>PM&amp;UED</v>
          </cell>
          <cell r="C203" t="str">
            <v>研发费用</v>
          </cell>
        </row>
        <row r="204">
          <cell r="A204" t="str">
            <v>李阳</v>
          </cell>
          <cell r="B204" t="str">
            <v>R&amp;D</v>
          </cell>
          <cell r="C204" t="str">
            <v>研发费用</v>
          </cell>
        </row>
        <row r="205">
          <cell r="A205" t="str">
            <v>谢熠锋</v>
          </cell>
          <cell r="B205" t="str">
            <v>R&amp;D</v>
          </cell>
          <cell r="C205" t="str">
            <v>研发费用</v>
          </cell>
        </row>
        <row r="206">
          <cell r="A206" t="str">
            <v>章苏萍</v>
          </cell>
          <cell r="B206" t="str">
            <v>R&amp;D</v>
          </cell>
          <cell r="C206" t="str">
            <v>研发费用</v>
          </cell>
        </row>
        <row r="207">
          <cell r="A207" t="str">
            <v>姚毅晨</v>
          </cell>
          <cell r="B207" t="str">
            <v>R&amp;D</v>
          </cell>
          <cell r="C207" t="str">
            <v>研发费用</v>
          </cell>
        </row>
        <row r="208">
          <cell r="A208" t="str">
            <v>顾涛</v>
          </cell>
          <cell r="B208" t="str">
            <v>R&amp;D</v>
          </cell>
          <cell r="C208" t="str">
            <v>研发费用</v>
          </cell>
        </row>
        <row r="209">
          <cell r="A209" t="str">
            <v>费冬梅</v>
          </cell>
          <cell r="B209" t="str">
            <v>Yumin Team</v>
          </cell>
          <cell r="C209" t="str">
            <v>管理费用</v>
          </cell>
        </row>
        <row r="210">
          <cell r="A210" t="str">
            <v>史立丽</v>
          </cell>
          <cell r="B210" t="str">
            <v>PM&amp;UED</v>
          </cell>
          <cell r="C210" t="str">
            <v>研发费用</v>
          </cell>
        </row>
        <row r="211">
          <cell r="A211" t="str">
            <v>韩子辰</v>
          </cell>
          <cell r="B211" t="str">
            <v>R&amp;D</v>
          </cell>
          <cell r="C211" t="str">
            <v>研发费用</v>
          </cell>
        </row>
        <row r="212">
          <cell r="A212" t="str">
            <v>樊彦杰</v>
          </cell>
          <cell r="B212" t="str">
            <v>R&amp;D</v>
          </cell>
          <cell r="C212" t="str">
            <v>研发费用</v>
          </cell>
        </row>
        <row r="213">
          <cell r="A213" t="str">
            <v>张铱婷</v>
          </cell>
          <cell r="B213" t="str">
            <v>Ian Team</v>
          </cell>
          <cell r="C213" t="str">
            <v>管理费用</v>
          </cell>
        </row>
        <row r="214">
          <cell r="A214" t="str">
            <v>纪雪凤</v>
          </cell>
          <cell r="B214" t="str">
            <v>R&amp;D</v>
          </cell>
          <cell r="C214" t="str">
            <v>研发费用</v>
          </cell>
        </row>
        <row r="215">
          <cell r="A215" t="str">
            <v>麻亮</v>
          </cell>
          <cell r="B215" t="str">
            <v>R&amp;D</v>
          </cell>
          <cell r="C215" t="str">
            <v>研发费用</v>
          </cell>
        </row>
        <row r="216">
          <cell r="A216" t="str">
            <v>张慧</v>
          </cell>
          <cell r="B216" t="str">
            <v>PM&amp;UED</v>
          </cell>
          <cell r="C216" t="str">
            <v>研发费用</v>
          </cell>
        </row>
        <row r="217">
          <cell r="A217" t="str">
            <v>李英杰</v>
          </cell>
          <cell r="B217" t="str">
            <v>R&amp;D</v>
          </cell>
          <cell r="C217" t="str">
            <v>研发费用</v>
          </cell>
        </row>
        <row r="218">
          <cell r="A218" t="str">
            <v>周智晨</v>
          </cell>
          <cell r="B218" t="str">
            <v>R&amp;D</v>
          </cell>
          <cell r="C218" t="str">
            <v>研发费用</v>
          </cell>
        </row>
        <row r="219">
          <cell r="A219" t="str">
            <v>渠娅萍</v>
          </cell>
          <cell r="B219" t="str">
            <v>R&amp;D</v>
          </cell>
          <cell r="C219" t="str">
            <v>研发费用</v>
          </cell>
        </row>
        <row r="220">
          <cell r="A220" t="str">
            <v>江怡成</v>
          </cell>
          <cell r="B220" t="str">
            <v>Support &amp; CSM</v>
          </cell>
          <cell r="C220" t="str">
            <v>管理费用</v>
          </cell>
        </row>
        <row r="221">
          <cell r="A221" t="str">
            <v>沈佳伟</v>
          </cell>
          <cell r="B221" t="str">
            <v>R&amp;D</v>
          </cell>
          <cell r="C221" t="str">
            <v>研发费用</v>
          </cell>
        </row>
        <row r="222">
          <cell r="A222" t="str">
            <v>薛才</v>
          </cell>
          <cell r="B222" t="str">
            <v>R&amp;D</v>
          </cell>
          <cell r="C222" t="str">
            <v>研发费用</v>
          </cell>
        </row>
        <row r="223">
          <cell r="A223" t="str">
            <v>周良</v>
          </cell>
          <cell r="B223" t="str">
            <v>R&amp;D</v>
          </cell>
          <cell r="C223" t="str">
            <v>研发费用</v>
          </cell>
        </row>
        <row r="224">
          <cell r="A224" t="str">
            <v>温宜橙</v>
          </cell>
          <cell r="B224" t="str">
            <v>R&amp;D</v>
          </cell>
          <cell r="C224" t="str">
            <v>研发费用</v>
          </cell>
        </row>
        <row r="225">
          <cell r="A225" t="str">
            <v>朱平</v>
          </cell>
          <cell r="B225" t="str">
            <v>R&amp;D</v>
          </cell>
          <cell r="C225" t="str">
            <v>研发费用</v>
          </cell>
        </row>
        <row r="226">
          <cell r="A226" t="str">
            <v>唐天元</v>
          </cell>
          <cell r="B226" t="str">
            <v>R&amp;D</v>
          </cell>
          <cell r="C226" t="str">
            <v>研发费用</v>
          </cell>
        </row>
        <row r="227">
          <cell r="A227" t="str">
            <v>周磊</v>
          </cell>
          <cell r="B227" t="str">
            <v>R&amp;D</v>
          </cell>
          <cell r="C227" t="str">
            <v>研发费用</v>
          </cell>
        </row>
        <row r="228">
          <cell r="A228" t="str">
            <v>陈满玲</v>
          </cell>
          <cell r="B228" t="str">
            <v>Yumin Team</v>
          </cell>
          <cell r="C228" t="str">
            <v>管理费用</v>
          </cell>
        </row>
        <row r="229">
          <cell r="A229" t="str">
            <v>金一泽</v>
          </cell>
          <cell r="B229" t="str">
            <v>R&amp;D</v>
          </cell>
          <cell r="C229" t="str">
            <v>研发费用</v>
          </cell>
        </row>
        <row r="230">
          <cell r="A230" t="str">
            <v>韩苏闻</v>
          </cell>
          <cell r="B230" t="str">
            <v>R&amp;D</v>
          </cell>
          <cell r="C230" t="str">
            <v>研发费用</v>
          </cell>
        </row>
        <row r="231">
          <cell r="A231" t="str">
            <v>丁涛</v>
          </cell>
          <cell r="B231" t="str">
            <v>R&amp;D</v>
          </cell>
          <cell r="C231" t="str">
            <v>研发费用</v>
          </cell>
        </row>
        <row r="232">
          <cell r="A232" t="str">
            <v>刘宇东</v>
          </cell>
          <cell r="B232" t="str">
            <v>R&amp;D</v>
          </cell>
          <cell r="C232" t="str">
            <v>研发费用</v>
          </cell>
        </row>
        <row r="233">
          <cell r="A233" t="str">
            <v>孙颖</v>
          </cell>
          <cell r="B233" t="str">
            <v>R&amp;D</v>
          </cell>
          <cell r="C233" t="str">
            <v>研发费用</v>
          </cell>
        </row>
        <row r="234">
          <cell r="A234" t="str">
            <v>谢宇</v>
          </cell>
          <cell r="B234" t="str">
            <v>R&amp;D</v>
          </cell>
          <cell r="C234" t="str">
            <v>研发费用</v>
          </cell>
        </row>
        <row r="235">
          <cell r="A235" t="str">
            <v>曹鹏</v>
          </cell>
          <cell r="B235" t="str">
            <v>R&amp;D</v>
          </cell>
          <cell r="C235" t="str">
            <v>研发费用</v>
          </cell>
        </row>
        <row r="236">
          <cell r="A236" t="str">
            <v>杨长江</v>
          </cell>
          <cell r="B236" t="str">
            <v>R&amp;D</v>
          </cell>
          <cell r="C236" t="str">
            <v>研发费用</v>
          </cell>
        </row>
        <row r="237">
          <cell r="A237" t="str">
            <v>顾广杰</v>
          </cell>
          <cell r="B237" t="str">
            <v>R&amp;D</v>
          </cell>
          <cell r="C237" t="str">
            <v>研发费用</v>
          </cell>
        </row>
        <row r="238">
          <cell r="A238" t="str">
            <v>张峻旗</v>
          </cell>
          <cell r="B238" t="str">
            <v>R&amp;D</v>
          </cell>
          <cell r="C238" t="str">
            <v>研发费用</v>
          </cell>
        </row>
        <row r="239">
          <cell r="A239" t="str">
            <v>吴海波</v>
          </cell>
          <cell r="B239" t="str">
            <v>R&amp;D</v>
          </cell>
          <cell r="C239" t="str">
            <v>研发费用</v>
          </cell>
        </row>
        <row r="240">
          <cell r="A240" t="str">
            <v>张庆</v>
          </cell>
          <cell r="B240" t="str">
            <v>PM&amp;UED</v>
          </cell>
          <cell r="C240" t="str">
            <v>研发费用</v>
          </cell>
        </row>
        <row r="241">
          <cell r="A241" t="str">
            <v>吴媛媛</v>
          </cell>
          <cell r="B241" t="str">
            <v>R&amp;D</v>
          </cell>
          <cell r="C241" t="str">
            <v>研发费用</v>
          </cell>
        </row>
        <row r="242">
          <cell r="A242" t="str">
            <v>陈玮达</v>
          </cell>
          <cell r="B242" t="str">
            <v>R&amp;D</v>
          </cell>
          <cell r="C242" t="str">
            <v>研发费用</v>
          </cell>
        </row>
        <row r="243">
          <cell r="A243" t="str">
            <v>李卫</v>
          </cell>
          <cell r="B243" t="str">
            <v>Ian Team</v>
          </cell>
          <cell r="C243" t="str">
            <v>管理费用</v>
          </cell>
        </row>
        <row r="244">
          <cell r="A244" t="str">
            <v>吴超</v>
          </cell>
          <cell r="B244" t="str">
            <v>R&amp;D</v>
          </cell>
          <cell r="C244" t="str">
            <v>研发费用</v>
          </cell>
        </row>
        <row r="245">
          <cell r="A245" t="str">
            <v>刘雪琴</v>
          </cell>
          <cell r="B245" t="str">
            <v>R&amp;D</v>
          </cell>
          <cell r="C245" t="str">
            <v>研发费用</v>
          </cell>
        </row>
        <row r="246">
          <cell r="A246" t="str">
            <v>葛成杰</v>
          </cell>
          <cell r="B246" t="str">
            <v>R&amp;D</v>
          </cell>
          <cell r="C246" t="str">
            <v>研发费用</v>
          </cell>
        </row>
        <row r="247">
          <cell r="A247" t="str">
            <v>王敏杰</v>
          </cell>
          <cell r="B247" t="str">
            <v>R&amp;D</v>
          </cell>
          <cell r="C247" t="str">
            <v>研发费用</v>
          </cell>
        </row>
        <row r="248">
          <cell r="A248" t="str">
            <v>马晴</v>
          </cell>
          <cell r="B248" t="str">
            <v>Revenue Recovery</v>
          </cell>
          <cell r="C248" t="str">
            <v>管理费用</v>
          </cell>
        </row>
        <row r="249">
          <cell r="A249" t="str">
            <v>张野</v>
          </cell>
          <cell r="B249" t="str">
            <v>R&amp;D</v>
          </cell>
          <cell r="C249" t="str">
            <v>研发费用</v>
          </cell>
        </row>
        <row r="250">
          <cell r="A250" t="str">
            <v>何锐</v>
          </cell>
          <cell r="B250" t="str">
            <v>Support &amp; CSM</v>
          </cell>
          <cell r="C250" t="str">
            <v>管理费用</v>
          </cell>
        </row>
        <row r="251">
          <cell r="A251" t="str">
            <v>管燕山</v>
          </cell>
          <cell r="B251" t="str">
            <v>R&amp;D</v>
          </cell>
          <cell r="C251" t="str">
            <v>研发费用</v>
          </cell>
        </row>
        <row r="252">
          <cell r="A252" t="str">
            <v>徐哲</v>
          </cell>
          <cell r="B252" t="str">
            <v>R&amp;D</v>
          </cell>
          <cell r="C252" t="str">
            <v>研发费用</v>
          </cell>
        </row>
        <row r="253">
          <cell r="A253" t="str">
            <v>薛凯枫</v>
          </cell>
          <cell r="B253" t="str">
            <v>R&amp;D</v>
          </cell>
          <cell r="C253" t="str">
            <v>研发费用</v>
          </cell>
        </row>
        <row r="254">
          <cell r="A254" t="str">
            <v>徐芳</v>
          </cell>
          <cell r="B254" t="str">
            <v>Yumin Team</v>
          </cell>
          <cell r="C254" t="str">
            <v>管理费用</v>
          </cell>
        </row>
        <row r="255">
          <cell r="A255" t="str">
            <v>曾丽梅</v>
          </cell>
          <cell r="B255" t="str">
            <v>Ian Team</v>
          </cell>
          <cell r="C255" t="str">
            <v>管理费用</v>
          </cell>
        </row>
        <row r="256">
          <cell r="A256" t="str">
            <v>毛礼婷</v>
          </cell>
          <cell r="B256" t="str">
            <v>Ian Team</v>
          </cell>
          <cell r="C256" t="str">
            <v>管理费用</v>
          </cell>
        </row>
        <row r="257">
          <cell r="A257" t="str">
            <v>杨舜婷</v>
          </cell>
          <cell r="B257" t="str">
            <v>Ian Team</v>
          </cell>
          <cell r="C257" t="str">
            <v>管理费用</v>
          </cell>
        </row>
        <row r="258">
          <cell r="A258" t="str">
            <v>赵欢欢</v>
          </cell>
          <cell r="B258" t="str">
            <v>R&amp;D</v>
          </cell>
          <cell r="C258" t="str">
            <v>研发费用</v>
          </cell>
        </row>
        <row r="259">
          <cell r="A259" t="str">
            <v>陈缘缘</v>
          </cell>
          <cell r="B259" t="str">
            <v>Support &amp; CSM</v>
          </cell>
          <cell r="C259" t="str">
            <v>管理费用</v>
          </cell>
        </row>
        <row r="260">
          <cell r="A260" t="str">
            <v>刘选雨</v>
          </cell>
          <cell r="B260" t="str">
            <v>R&amp;D</v>
          </cell>
          <cell r="C260" t="str">
            <v>研发费用</v>
          </cell>
        </row>
        <row r="261">
          <cell r="A261" t="str">
            <v>李淑婷</v>
          </cell>
          <cell r="B261" t="str">
            <v>Yumin Team</v>
          </cell>
          <cell r="C261" t="str">
            <v>管理费用</v>
          </cell>
        </row>
        <row r="262">
          <cell r="A262" t="str">
            <v>赵雪婷</v>
          </cell>
          <cell r="B262" t="str">
            <v>PM&amp;UED</v>
          </cell>
          <cell r="C262" t="str">
            <v>研发费用</v>
          </cell>
        </row>
        <row r="263">
          <cell r="A263" t="str">
            <v>张帅涛</v>
          </cell>
          <cell r="B263" t="str">
            <v>R&amp;D</v>
          </cell>
          <cell r="C263" t="str">
            <v>研发费用</v>
          </cell>
        </row>
        <row r="264">
          <cell r="A264" t="str">
            <v>梅小平</v>
          </cell>
          <cell r="B264" t="str">
            <v>R&amp;D</v>
          </cell>
          <cell r="C264" t="str">
            <v>研发费用</v>
          </cell>
        </row>
        <row r="265">
          <cell r="A265" t="str">
            <v>魏宁玲</v>
          </cell>
          <cell r="B265" t="str">
            <v>Yumin Team</v>
          </cell>
          <cell r="C265" t="str">
            <v>管理费用</v>
          </cell>
        </row>
        <row r="266">
          <cell r="A266" t="str">
            <v>桑瑶</v>
          </cell>
          <cell r="B266" t="str">
            <v>Ian Team</v>
          </cell>
          <cell r="C266" t="str">
            <v>管理费用</v>
          </cell>
        </row>
        <row r="267">
          <cell r="A267" t="str">
            <v>吴飞</v>
          </cell>
          <cell r="B267" t="str">
            <v>Yumin Team</v>
          </cell>
          <cell r="C267" t="str">
            <v>管理费用</v>
          </cell>
        </row>
        <row r="268">
          <cell r="A268" t="str">
            <v>王天奇</v>
          </cell>
          <cell r="B268" t="str">
            <v>R&amp;D</v>
          </cell>
          <cell r="C268" t="str">
            <v>研发费用</v>
          </cell>
        </row>
        <row r="269">
          <cell r="A269" t="str">
            <v>李孟霞</v>
          </cell>
          <cell r="B269" t="str">
            <v>R&amp;D</v>
          </cell>
          <cell r="C269" t="str">
            <v>研发费用</v>
          </cell>
        </row>
        <row r="270">
          <cell r="A270" t="str">
            <v>韩涛</v>
          </cell>
          <cell r="B270" t="str">
            <v>PM&amp;UED</v>
          </cell>
          <cell r="C270" t="str">
            <v>研发费用</v>
          </cell>
        </row>
        <row r="271">
          <cell r="A271" t="str">
            <v>刘娟</v>
          </cell>
          <cell r="B271" t="str">
            <v>R&amp;D</v>
          </cell>
          <cell r="C271" t="str">
            <v>研发费用</v>
          </cell>
        </row>
        <row r="272">
          <cell r="A272" t="str">
            <v>张甜甜</v>
          </cell>
          <cell r="B272" t="str">
            <v>Yumin Team</v>
          </cell>
          <cell r="C272" t="str">
            <v>管理费用</v>
          </cell>
        </row>
        <row r="273">
          <cell r="A273" t="str">
            <v>崔岳</v>
          </cell>
          <cell r="B273" t="str">
            <v>Yumin Team</v>
          </cell>
          <cell r="C273" t="str">
            <v>管理费用</v>
          </cell>
        </row>
        <row r="274">
          <cell r="A274" t="str">
            <v>丁翰</v>
          </cell>
          <cell r="B274" t="str">
            <v>R&amp;D</v>
          </cell>
          <cell r="C274" t="str">
            <v>研发费用</v>
          </cell>
        </row>
        <row r="275">
          <cell r="A275" t="str">
            <v>田云云</v>
          </cell>
          <cell r="B275" t="str">
            <v>Ian Team</v>
          </cell>
          <cell r="C275" t="str">
            <v>管理费用</v>
          </cell>
        </row>
        <row r="276">
          <cell r="A276" t="str">
            <v>陆凯楠</v>
          </cell>
          <cell r="B276" t="str">
            <v>R&amp;D</v>
          </cell>
          <cell r="C276" t="str">
            <v>研发费用</v>
          </cell>
        </row>
        <row r="277">
          <cell r="A277" t="str">
            <v>宋薇</v>
          </cell>
          <cell r="B277" t="str">
            <v>Yumin Team</v>
          </cell>
          <cell r="C277" t="str">
            <v>管理费用</v>
          </cell>
        </row>
        <row r="278">
          <cell r="A278" t="str">
            <v>王欢</v>
          </cell>
          <cell r="B278" t="str">
            <v>R&amp;D</v>
          </cell>
          <cell r="C278" t="str">
            <v>研发费用</v>
          </cell>
        </row>
        <row r="279">
          <cell r="A279" t="str">
            <v>成琛</v>
          </cell>
          <cell r="B279" t="str">
            <v>PM&amp;UED</v>
          </cell>
          <cell r="C279" t="str">
            <v>研发费用</v>
          </cell>
        </row>
        <row r="280">
          <cell r="A280" t="str">
            <v>李胤楼</v>
          </cell>
          <cell r="B280" t="str">
            <v>HR</v>
          </cell>
          <cell r="C280" t="str">
            <v>管理费用</v>
          </cell>
        </row>
        <row r="281">
          <cell r="A281" t="str">
            <v>唐心宇</v>
          </cell>
          <cell r="B281" t="str">
            <v>PM&amp;UED</v>
          </cell>
          <cell r="C281" t="str">
            <v>研发费用</v>
          </cell>
        </row>
        <row r="282">
          <cell r="A282" t="str">
            <v>张悦</v>
          </cell>
          <cell r="B282" t="str">
            <v>R&amp;D</v>
          </cell>
          <cell r="C282" t="str">
            <v>研发费用</v>
          </cell>
        </row>
        <row r="283">
          <cell r="A283" t="str">
            <v>唐雷明</v>
          </cell>
          <cell r="B283" t="str">
            <v>R&amp;D</v>
          </cell>
          <cell r="C283" t="str">
            <v>研发费用</v>
          </cell>
        </row>
        <row r="284">
          <cell r="A284" t="str">
            <v>高燕</v>
          </cell>
          <cell r="B284" t="str">
            <v>R&amp;D</v>
          </cell>
          <cell r="C284" t="str">
            <v>研发费用</v>
          </cell>
        </row>
        <row r="285">
          <cell r="A285" t="str">
            <v>金瑞瑞</v>
          </cell>
          <cell r="B285" t="str">
            <v>R&amp;D</v>
          </cell>
          <cell r="C285" t="str">
            <v>研发费用</v>
          </cell>
        </row>
        <row r="286">
          <cell r="A286" t="str">
            <v>吴坚</v>
          </cell>
          <cell r="B286" t="str">
            <v>R&amp;D</v>
          </cell>
          <cell r="C286" t="str">
            <v>研发费用</v>
          </cell>
        </row>
        <row r="287">
          <cell r="A287" t="str">
            <v>王恩平</v>
          </cell>
          <cell r="B287" t="str">
            <v>Yumin Team</v>
          </cell>
          <cell r="C287" t="str">
            <v>管理费用</v>
          </cell>
        </row>
        <row r="288">
          <cell r="A288" t="str">
            <v>蒋文豪</v>
          </cell>
          <cell r="B288" t="str">
            <v>PM&amp;UED</v>
          </cell>
          <cell r="C288" t="str">
            <v>研发费用</v>
          </cell>
        </row>
        <row r="289">
          <cell r="A289" t="str">
            <v>刘敏</v>
          </cell>
          <cell r="B289" t="str">
            <v>HR</v>
          </cell>
          <cell r="C289" t="str">
            <v>管理费用</v>
          </cell>
        </row>
        <row r="290">
          <cell r="A290" t="str">
            <v>李敬贤</v>
          </cell>
          <cell r="B290" t="str">
            <v>R&amp;D</v>
          </cell>
          <cell r="C290" t="str">
            <v>研发费用</v>
          </cell>
        </row>
        <row r="291">
          <cell r="A291" t="str">
            <v>隆琦</v>
          </cell>
          <cell r="B291" t="str">
            <v>R&amp;D</v>
          </cell>
          <cell r="C291" t="str">
            <v>研发费用</v>
          </cell>
        </row>
        <row r="292">
          <cell r="A292" t="str">
            <v>赵华</v>
          </cell>
          <cell r="B292" t="str">
            <v>R&amp;D</v>
          </cell>
          <cell r="C292" t="str">
            <v>研发费用</v>
          </cell>
        </row>
        <row r="293">
          <cell r="A293" t="str">
            <v>赵洪建</v>
          </cell>
          <cell r="B293" t="str">
            <v>R&amp;D</v>
          </cell>
          <cell r="C293" t="str">
            <v>研发费用</v>
          </cell>
        </row>
        <row r="294">
          <cell r="A294" t="str">
            <v>江正贯</v>
          </cell>
          <cell r="B294" t="str">
            <v>R&amp;D</v>
          </cell>
          <cell r="C294" t="str">
            <v>研发费用</v>
          </cell>
        </row>
        <row r="295">
          <cell r="A295" t="str">
            <v>杨晓飞</v>
          </cell>
          <cell r="B295" t="str">
            <v>R&amp;D</v>
          </cell>
          <cell r="C295" t="str">
            <v>研发费用</v>
          </cell>
        </row>
        <row r="296">
          <cell r="A296" t="str">
            <v>薛坤</v>
          </cell>
          <cell r="B296" t="str">
            <v>R&amp;D</v>
          </cell>
          <cell r="C296" t="str">
            <v>研发费用</v>
          </cell>
        </row>
        <row r="297">
          <cell r="A297" t="str">
            <v>曹后成</v>
          </cell>
          <cell r="B297" t="str">
            <v>R&amp;D</v>
          </cell>
          <cell r="C297" t="str">
            <v>研发费用</v>
          </cell>
        </row>
        <row r="298">
          <cell r="A298" t="str">
            <v>马成虎</v>
          </cell>
          <cell r="B298" t="str">
            <v>R&amp;D</v>
          </cell>
          <cell r="C298" t="str">
            <v>研发费用</v>
          </cell>
        </row>
        <row r="299">
          <cell r="A299" t="str">
            <v>杨丹</v>
          </cell>
          <cell r="B299" t="str">
            <v>R&amp;D</v>
          </cell>
          <cell r="C299" t="str">
            <v>研发费用</v>
          </cell>
        </row>
        <row r="300">
          <cell r="A300" t="str">
            <v>周童</v>
          </cell>
          <cell r="B300" t="str">
            <v>PM&amp;UED</v>
          </cell>
          <cell r="C300" t="str">
            <v>研发费用</v>
          </cell>
        </row>
        <row r="301">
          <cell r="A301" t="str">
            <v>邱吉光</v>
          </cell>
          <cell r="B301" t="str">
            <v>R&amp;D</v>
          </cell>
          <cell r="C301" t="str">
            <v>研发费用</v>
          </cell>
        </row>
        <row r="302">
          <cell r="A302" t="str">
            <v>王山山</v>
          </cell>
          <cell r="B302" t="str">
            <v>R&amp;D</v>
          </cell>
          <cell r="C302" t="str">
            <v>研发费用</v>
          </cell>
        </row>
        <row r="303">
          <cell r="A303" t="str">
            <v>蒋立明</v>
          </cell>
          <cell r="B303" t="str">
            <v>R&amp;D</v>
          </cell>
          <cell r="C303" t="str">
            <v>研发费用</v>
          </cell>
        </row>
        <row r="304">
          <cell r="A304" t="str">
            <v>陈琛</v>
          </cell>
          <cell r="B304" t="str">
            <v>PM&amp;UED</v>
          </cell>
          <cell r="C304" t="str">
            <v>研发费用</v>
          </cell>
        </row>
        <row r="305">
          <cell r="A305" t="str">
            <v>陈隽</v>
          </cell>
          <cell r="B305" t="str">
            <v>R&amp;D</v>
          </cell>
          <cell r="C305" t="str">
            <v>研发费用</v>
          </cell>
        </row>
        <row r="306">
          <cell r="A306" t="str">
            <v>李承霖</v>
          </cell>
          <cell r="B306" t="str">
            <v>R&amp;D</v>
          </cell>
          <cell r="C306" t="str">
            <v>研发费用</v>
          </cell>
        </row>
        <row r="307">
          <cell r="A307" t="str">
            <v>桑亮</v>
          </cell>
          <cell r="B307" t="str">
            <v>R&amp;D</v>
          </cell>
          <cell r="C307" t="str">
            <v>研发费用</v>
          </cell>
        </row>
        <row r="308">
          <cell r="A308" t="str">
            <v>沈亦豪</v>
          </cell>
          <cell r="B308" t="str">
            <v>Ian Team</v>
          </cell>
          <cell r="C308" t="str">
            <v>管理费用</v>
          </cell>
        </row>
        <row r="309">
          <cell r="A309" t="str">
            <v>龚世超</v>
          </cell>
          <cell r="B309" t="str">
            <v>R&amp;D</v>
          </cell>
          <cell r="C309" t="str">
            <v>研发费用</v>
          </cell>
        </row>
        <row r="310">
          <cell r="A310" t="str">
            <v>龚余顺</v>
          </cell>
          <cell r="B310" t="str">
            <v>R&amp;D</v>
          </cell>
          <cell r="C310" t="str">
            <v>研发费用</v>
          </cell>
        </row>
        <row r="311">
          <cell r="A311" t="str">
            <v>诸葛远俊</v>
          </cell>
          <cell r="B311" t="str">
            <v>Revenue Recovery</v>
          </cell>
          <cell r="C311" t="str">
            <v>管理费用</v>
          </cell>
        </row>
        <row r="312">
          <cell r="A312" t="str">
            <v>臧茹娅</v>
          </cell>
          <cell r="B312" t="str">
            <v>Ian Team</v>
          </cell>
          <cell r="C312" t="str">
            <v>管理费用</v>
          </cell>
        </row>
        <row r="313">
          <cell r="A313" t="str">
            <v>岳守好</v>
          </cell>
          <cell r="B313" t="str">
            <v>Yumin Team</v>
          </cell>
          <cell r="C313" t="str">
            <v>管理费用</v>
          </cell>
        </row>
        <row r="314">
          <cell r="A314" t="str">
            <v>祁苏杭</v>
          </cell>
          <cell r="B314" t="str">
            <v>R&amp;D</v>
          </cell>
          <cell r="C314" t="str">
            <v>研发费用</v>
          </cell>
        </row>
        <row r="315">
          <cell r="A315" t="str">
            <v>印苗</v>
          </cell>
          <cell r="B315" t="str">
            <v>Yumin Team</v>
          </cell>
          <cell r="C315" t="str">
            <v>管理费用</v>
          </cell>
        </row>
        <row r="316">
          <cell r="A316" t="str">
            <v>周盼盼</v>
          </cell>
          <cell r="B316" t="str">
            <v>R&amp;D</v>
          </cell>
          <cell r="C316" t="str">
            <v>研发费用</v>
          </cell>
        </row>
        <row r="317">
          <cell r="A317" t="str">
            <v>洪浩</v>
          </cell>
          <cell r="B317" t="str">
            <v>R&amp;D</v>
          </cell>
          <cell r="C317" t="str">
            <v>研发费用</v>
          </cell>
        </row>
        <row r="318">
          <cell r="A318" t="str">
            <v>柯汪美</v>
          </cell>
          <cell r="B318" t="str">
            <v>Yumin Team</v>
          </cell>
          <cell r="C318" t="str">
            <v>管理费用</v>
          </cell>
        </row>
        <row r="319">
          <cell r="A319" t="str">
            <v>高晓晨</v>
          </cell>
          <cell r="B319" t="str">
            <v>Yumin Team</v>
          </cell>
          <cell r="C319" t="str">
            <v>管理费用</v>
          </cell>
        </row>
        <row r="320">
          <cell r="A320" t="str">
            <v>朱诚象</v>
          </cell>
          <cell r="B320" t="str">
            <v>R&amp;D</v>
          </cell>
          <cell r="C320" t="str">
            <v>研发费用</v>
          </cell>
        </row>
        <row r="321">
          <cell r="A321" t="str">
            <v>聂恒辉</v>
          </cell>
          <cell r="B321" t="str">
            <v>R&amp;D</v>
          </cell>
          <cell r="C321" t="str">
            <v>研发费用</v>
          </cell>
        </row>
        <row r="322">
          <cell r="A322" t="str">
            <v>罗成</v>
          </cell>
          <cell r="B322" t="str">
            <v>R&amp;D</v>
          </cell>
          <cell r="C322" t="str">
            <v>研发费用</v>
          </cell>
        </row>
        <row r="323">
          <cell r="A323" t="str">
            <v>宋玲</v>
          </cell>
          <cell r="B323" t="str">
            <v>Yumin Team</v>
          </cell>
          <cell r="C323" t="str">
            <v>管理费用</v>
          </cell>
        </row>
        <row r="324">
          <cell r="A324" t="str">
            <v>孙梓辰</v>
          </cell>
          <cell r="B324" t="str">
            <v>R&amp;D</v>
          </cell>
          <cell r="C324" t="str">
            <v>研发费用</v>
          </cell>
        </row>
        <row r="325">
          <cell r="A325" t="str">
            <v>孟克平</v>
          </cell>
          <cell r="B325" t="str">
            <v>R&amp;D</v>
          </cell>
          <cell r="C325" t="str">
            <v>研发费用</v>
          </cell>
        </row>
        <row r="326">
          <cell r="A326" t="str">
            <v>陈开明</v>
          </cell>
          <cell r="B326" t="str">
            <v>PM&amp;UED</v>
          </cell>
          <cell r="C326" t="str">
            <v>研发费用</v>
          </cell>
        </row>
        <row r="327">
          <cell r="A327" t="str">
            <v>陈琳琅</v>
          </cell>
          <cell r="B327" t="str">
            <v>Yumin Team</v>
          </cell>
          <cell r="C327" t="str">
            <v>管理费用</v>
          </cell>
        </row>
        <row r="328">
          <cell r="A328" t="str">
            <v>李敏</v>
          </cell>
          <cell r="B328" t="str">
            <v>R&amp;D</v>
          </cell>
          <cell r="C328" t="str">
            <v>研发费用</v>
          </cell>
        </row>
        <row r="329">
          <cell r="A329" t="str">
            <v>刘格非</v>
          </cell>
          <cell r="B329" t="str">
            <v>Yumin Team</v>
          </cell>
          <cell r="C329" t="str">
            <v>管理费用</v>
          </cell>
        </row>
        <row r="330">
          <cell r="A330" t="str">
            <v>李振强</v>
          </cell>
          <cell r="B330" t="str">
            <v>R&amp;D</v>
          </cell>
          <cell r="C330" t="str">
            <v>研发费用</v>
          </cell>
        </row>
        <row r="331">
          <cell r="A331" t="str">
            <v>苑富勇</v>
          </cell>
          <cell r="B331" t="str">
            <v>R&amp;D</v>
          </cell>
          <cell r="C331" t="str">
            <v>研发费用</v>
          </cell>
        </row>
        <row r="332">
          <cell r="A332" t="str">
            <v>顾逾恒</v>
          </cell>
          <cell r="B332" t="str">
            <v>R&amp;D</v>
          </cell>
          <cell r="C332" t="str">
            <v>研发费用</v>
          </cell>
        </row>
        <row r="333">
          <cell r="A333" t="str">
            <v>钱立金</v>
          </cell>
          <cell r="B333" t="str">
            <v>R&amp;D</v>
          </cell>
          <cell r="C333" t="str">
            <v>研发费用</v>
          </cell>
        </row>
        <row r="334">
          <cell r="A334" t="str">
            <v>虞晟</v>
          </cell>
          <cell r="B334" t="str">
            <v>PM&amp;UED</v>
          </cell>
          <cell r="C334" t="str">
            <v>研发费用</v>
          </cell>
        </row>
        <row r="335">
          <cell r="A335" t="str">
            <v>江佳恒</v>
          </cell>
          <cell r="B335" t="str">
            <v>R&amp;D</v>
          </cell>
          <cell r="C335" t="str">
            <v>研发费用</v>
          </cell>
        </row>
        <row r="336">
          <cell r="A336" t="str">
            <v>周肖琪</v>
          </cell>
          <cell r="B336" t="str">
            <v>HR</v>
          </cell>
          <cell r="C336" t="str">
            <v>管理费用</v>
          </cell>
        </row>
        <row r="337">
          <cell r="A337" t="str">
            <v>肖劲</v>
          </cell>
          <cell r="B337" t="str">
            <v>R&amp;D</v>
          </cell>
          <cell r="C337" t="str">
            <v>研发费用</v>
          </cell>
        </row>
        <row r="338">
          <cell r="A338" t="str">
            <v>倪君</v>
          </cell>
          <cell r="B338" t="str">
            <v>R&amp;D</v>
          </cell>
          <cell r="C338" t="str">
            <v>研发费用</v>
          </cell>
        </row>
        <row r="339">
          <cell r="A339" t="str">
            <v>马云杰</v>
          </cell>
          <cell r="B339" t="str">
            <v>R&amp;D</v>
          </cell>
          <cell r="C339" t="str">
            <v>研发费用</v>
          </cell>
        </row>
        <row r="340">
          <cell r="A340" t="str">
            <v>张云云</v>
          </cell>
          <cell r="B340" t="str">
            <v>HR</v>
          </cell>
          <cell r="C340" t="str">
            <v>管理费用</v>
          </cell>
        </row>
        <row r="341">
          <cell r="A341" t="str">
            <v>陈玲</v>
          </cell>
          <cell r="B341" t="str">
            <v>PM&amp;UED</v>
          </cell>
          <cell r="C341" t="str">
            <v>研发费用</v>
          </cell>
        </row>
        <row r="342">
          <cell r="A342" t="str">
            <v>唐征旻</v>
          </cell>
          <cell r="B342" t="str">
            <v>Yumin Team</v>
          </cell>
          <cell r="C342" t="str">
            <v>管理费用</v>
          </cell>
        </row>
        <row r="343">
          <cell r="A343" t="str">
            <v>强佳鑫</v>
          </cell>
          <cell r="B343" t="str">
            <v>PM&amp;UED</v>
          </cell>
          <cell r="C343" t="str">
            <v>研发费用</v>
          </cell>
        </row>
        <row r="344">
          <cell r="A344" t="str">
            <v>张子琪</v>
          </cell>
          <cell r="B344" t="str">
            <v>R&amp;D</v>
          </cell>
          <cell r="C344" t="str">
            <v>研发费用</v>
          </cell>
        </row>
        <row r="345">
          <cell r="A345" t="str">
            <v>葛星宇</v>
          </cell>
          <cell r="B345" t="str">
            <v>R&amp;D</v>
          </cell>
          <cell r="C345" t="str">
            <v>研发费用</v>
          </cell>
        </row>
        <row r="346">
          <cell r="A346" t="str">
            <v>高骥</v>
          </cell>
          <cell r="B346" t="str">
            <v>Yumin Team</v>
          </cell>
          <cell r="C346" t="str">
            <v>管理费用</v>
          </cell>
        </row>
        <row r="347">
          <cell r="A347" t="str">
            <v>邹朋</v>
          </cell>
          <cell r="B347" t="str">
            <v>Yumin Team</v>
          </cell>
          <cell r="C347" t="str">
            <v>管理费用</v>
          </cell>
        </row>
        <row r="348">
          <cell r="A348" t="str">
            <v>张婷</v>
          </cell>
          <cell r="B348" t="str">
            <v>R&amp;D</v>
          </cell>
          <cell r="C348" t="str">
            <v>研发费用</v>
          </cell>
        </row>
        <row r="349">
          <cell r="A349" t="str">
            <v>袁良超</v>
          </cell>
          <cell r="B349" t="str">
            <v>Yumin Team</v>
          </cell>
          <cell r="C349" t="str">
            <v>管理费用</v>
          </cell>
        </row>
        <row r="350">
          <cell r="A350" t="str">
            <v>高朴</v>
          </cell>
          <cell r="B350" t="str">
            <v>R&amp;D</v>
          </cell>
          <cell r="C350" t="str">
            <v>研发费用</v>
          </cell>
        </row>
        <row r="351">
          <cell r="A351" t="str">
            <v>陆叶帆</v>
          </cell>
          <cell r="B351" t="str">
            <v>R&amp;D</v>
          </cell>
          <cell r="C351" t="str">
            <v>研发费用</v>
          </cell>
        </row>
        <row r="352">
          <cell r="A352" t="str">
            <v>李亚奇</v>
          </cell>
          <cell r="B352" t="str">
            <v>R&amp;D</v>
          </cell>
          <cell r="C352" t="str">
            <v>研发费用</v>
          </cell>
        </row>
        <row r="353">
          <cell r="A353" t="str">
            <v>张浩</v>
          </cell>
          <cell r="B353" t="str">
            <v>R&amp;D</v>
          </cell>
          <cell r="C353" t="str">
            <v>研发费用</v>
          </cell>
        </row>
        <row r="354">
          <cell r="A354" t="str">
            <v>袁丽娟</v>
          </cell>
          <cell r="B354" t="str">
            <v>HR</v>
          </cell>
          <cell r="C354" t="str">
            <v>管理费用</v>
          </cell>
        </row>
        <row r="355">
          <cell r="A355" t="str">
            <v>陈晓林</v>
          </cell>
          <cell r="B355" t="str">
            <v>PM&amp;UED</v>
          </cell>
          <cell r="C355" t="str">
            <v>研发费用</v>
          </cell>
        </row>
        <row r="356">
          <cell r="A356" t="str">
            <v>杨晨</v>
          </cell>
          <cell r="B356" t="str">
            <v>PM&amp;UED</v>
          </cell>
          <cell r="C356" t="str">
            <v>研发费用</v>
          </cell>
        </row>
        <row r="357">
          <cell r="A357" t="str">
            <v>朱传焕</v>
          </cell>
          <cell r="B357" t="str">
            <v>R&amp;D</v>
          </cell>
          <cell r="C357" t="str">
            <v>研发费用</v>
          </cell>
        </row>
        <row r="358">
          <cell r="A358" t="str">
            <v>颜园园</v>
          </cell>
          <cell r="B358" t="str">
            <v>R&amp;D</v>
          </cell>
          <cell r="C358" t="str">
            <v>研发费用</v>
          </cell>
        </row>
        <row r="359">
          <cell r="A359" t="str">
            <v>李宁</v>
          </cell>
          <cell r="B359" t="str">
            <v>R&amp;D</v>
          </cell>
          <cell r="C359" t="str">
            <v>研发费用</v>
          </cell>
        </row>
        <row r="360">
          <cell r="A360" t="str">
            <v>聂群</v>
          </cell>
          <cell r="B360" t="str">
            <v>Yumin Team</v>
          </cell>
          <cell r="C360" t="str">
            <v>管理费用</v>
          </cell>
        </row>
        <row r="361">
          <cell r="A361" t="str">
            <v>罗文芳</v>
          </cell>
          <cell r="B361" t="str">
            <v>Ian Team</v>
          </cell>
          <cell r="C361" t="str">
            <v>管理费用</v>
          </cell>
        </row>
        <row r="362">
          <cell r="A362" t="str">
            <v>姚仁杰</v>
          </cell>
          <cell r="B362" t="str">
            <v>R&amp;D</v>
          </cell>
          <cell r="C362" t="str">
            <v>研发费用</v>
          </cell>
        </row>
        <row r="363">
          <cell r="A363" t="str">
            <v>彭晓娜</v>
          </cell>
          <cell r="B363" t="str">
            <v>PM&amp;UED</v>
          </cell>
          <cell r="C363" t="str">
            <v>研发费用</v>
          </cell>
        </row>
        <row r="364">
          <cell r="A364" t="str">
            <v>刘鑫宇</v>
          </cell>
          <cell r="B364" t="str">
            <v>R&amp;D</v>
          </cell>
          <cell r="C364" t="str">
            <v>研发费用</v>
          </cell>
        </row>
        <row r="365">
          <cell r="A365" t="str">
            <v>顾雯雯</v>
          </cell>
          <cell r="B365" t="str">
            <v>HR</v>
          </cell>
          <cell r="C365" t="str">
            <v>管理费用</v>
          </cell>
        </row>
        <row r="366">
          <cell r="A366" t="str">
            <v>陶昕宇</v>
          </cell>
          <cell r="B366" t="str">
            <v>R&amp;D</v>
          </cell>
          <cell r="C366" t="str">
            <v>研发费用</v>
          </cell>
        </row>
        <row r="367">
          <cell r="A367" t="str">
            <v>徐浩伦</v>
          </cell>
          <cell r="B367" t="str">
            <v>R&amp;D</v>
          </cell>
          <cell r="C367" t="str">
            <v>研发费用</v>
          </cell>
        </row>
        <row r="368">
          <cell r="A368" t="str">
            <v>赵凤新</v>
          </cell>
          <cell r="B368" t="str">
            <v>PM&amp;UED</v>
          </cell>
          <cell r="C368" t="str">
            <v>研发费用</v>
          </cell>
        </row>
        <row r="369">
          <cell r="A369" t="str">
            <v>马章瑜</v>
          </cell>
          <cell r="B369" t="str">
            <v>R&amp;D</v>
          </cell>
          <cell r="C369" t="str">
            <v>研发费用</v>
          </cell>
        </row>
        <row r="370">
          <cell r="A370" t="str">
            <v>燕月华</v>
          </cell>
          <cell r="B370" t="str">
            <v>R&amp;D</v>
          </cell>
          <cell r="C370" t="str">
            <v>研发费用</v>
          </cell>
        </row>
        <row r="371">
          <cell r="A371" t="str">
            <v>张闯</v>
          </cell>
          <cell r="B371" t="str">
            <v>R&amp;D</v>
          </cell>
          <cell r="C371" t="str">
            <v>研发费用</v>
          </cell>
        </row>
        <row r="372">
          <cell r="A372" t="str">
            <v>王宇锋</v>
          </cell>
          <cell r="B372" t="str">
            <v>R&amp;D</v>
          </cell>
          <cell r="C372" t="str">
            <v>研发费用</v>
          </cell>
        </row>
        <row r="373">
          <cell r="A373" t="str">
            <v>陈丽霞</v>
          </cell>
          <cell r="B373" t="str">
            <v>R&amp;D</v>
          </cell>
          <cell r="C373" t="str">
            <v>研发费用</v>
          </cell>
        </row>
        <row r="374">
          <cell r="A374" t="str">
            <v>姚俊</v>
          </cell>
          <cell r="B374" t="str">
            <v>R&amp;D</v>
          </cell>
          <cell r="C374" t="str">
            <v>研发费用</v>
          </cell>
        </row>
        <row r="375">
          <cell r="A375" t="str">
            <v>龚汛</v>
          </cell>
          <cell r="B375" t="str">
            <v>R&amp;D</v>
          </cell>
          <cell r="C375" t="str">
            <v>研发费用</v>
          </cell>
        </row>
        <row r="376">
          <cell r="A376" t="str">
            <v>丁力</v>
          </cell>
          <cell r="B376" t="str">
            <v>R&amp;D</v>
          </cell>
          <cell r="C376" t="str">
            <v>研发费用</v>
          </cell>
        </row>
        <row r="377">
          <cell r="A377" t="str">
            <v>殷子心</v>
          </cell>
          <cell r="B377" t="str">
            <v>R&amp;D</v>
          </cell>
          <cell r="C377" t="str">
            <v>研发费用</v>
          </cell>
        </row>
        <row r="378">
          <cell r="C378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457D-9255-4D26-814D-5D5054C0DCC0}">
  <dimension ref="A1:AC88"/>
  <sheetViews>
    <sheetView tabSelected="1" zoomScale="85" zoomScaleNormal="85" workbookViewId="0">
      <pane xSplit="10" ySplit="2" topLeftCell="X3" activePane="bottomRight" state="frozen"/>
      <selection activeCell="E49" sqref="E49"/>
      <selection pane="topRight" activeCell="E49" sqref="E49"/>
      <selection pane="bottomLeft" activeCell="E49" sqref="E49"/>
      <selection pane="bottomRight" activeCell="AB13" sqref="AB13"/>
    </sheetView>
  </sheetViews>
  <sheetFormatPr defaultRowHeight="14" x14ac:dyDescent="0.3"/>
  <cols>
    <col min="1" max="1" width="10.08203125" customWidth="1"/>
    <col min="2" max="2" width="9.4140625" bestFit="1" customWidth="1"/>
    <col min="3" max="3" width="23.6640625" customWidth="1"/>
    <col min="4" max="4" width="9.4140625" bestFit="1" customWidth="1"/>
    <col min="5" max="5" width="26.83203125" customWidth="1"/>
    <col min="6" max="6" width="16.4140625" customWidth="1"/>
    <col min="7" max="7" width="9.4140625" bestFit="1" customWidth="1"/>
    <col min="8" max="8" width="36.5" customWidth="1"/>
    <col min="9" max="9" width="11.6640625" bestFit="1" customWidth="1"/>
    <col min="10" max="10" width="14.25" bestFit="1" customWidth="1"/>
    <col min="11" max="11" width="12.4140625" bestFit="1" customWidth="1"/>
    <col min="12" max="12" width="12" bestFit="1" customWidth="1"/>
    <col min="13" max="13" width="10.25" bestFit="1" customWidth="1"/>
    <col min="14" max="14" width="14.25" bestFit="1" customWidth="1"/>
    <col min="15" max="15" width="5.25" bestFit="1" customWidth="1"/>
    <col min="16" max="16" width="9.08203125" bestFit="1" customWidth="1"/>
    <col min="17" max="17" width="11.6640625" bestFit="1" customWidth="1"/>
    <col min="18" max="18" width="10.25" bestFit="1" customWidth="1"/>
    <col min="19" max="19" width="12.1640625" bestFit="1" customWidth="1"/>
    <col min="20" max="20" width="10.4140625" bestFit="1" customWidth="1"/>
    <col min="21" max="21" width="12.4140625" bestFit="1" customWidth="1"/>
    <col min="22" max="22" width="12.25" bestFit="1" customWidth="1"/>
    <col min="23" max="23" width="10.25" bestFit="1" customWidth="1"/>
    <col min="24" max="24" width="12.25" bestFit="1" customWidth="1"/>
    <col min="25" max="25" width="7.1640625" bestFit="1" customWidth="1"/>
    <col min="26" max="26" width="12" bestFit="1" customWidth="1"/>
    <col min="27" max="27" width="10.6640625" bestFit="1" customWidth="1"/>
    <col min="28" max="28" width="16.5" customWidth="1"/>
    <col min="29" max="29" width="14.1640625" customWidth="1"/>
  </cols>
  <sheetData>
    <row r="1" spans="1:29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1.15" customHeight="1" x14ac:dyDescent="0.3">
      <c r="A2" s="2" t="s">
        <v>29</v>
      </c>
      <c r="B2" s="3" t="s">
        <v>30</v>
      </c>
      <c r="C2" s="3" t="s">
        <v>31</v>
      </c>
      <c r="D2" s="3" t="s">
        <v>32</v>
      </c>
      <c r="E2" s="3" t="s">
        <v>257</v>
      </c>
      <c r="F2" s="2" t="s">
        <v>34</v>
      </c>
      <c r="G2" s="2" t="str">
        <f>_xlfn.XLOOKUP(D2,[1]费用科目!A:A,[1]费用科目!C:C)</f>
        <v>管理费用</v>
      </c>
      <c r="H2" s="2" t="s">
        <v>35</v>
      </c>
      <c r="I2" s="3" t="s">
        <v>36</v>
      </c>
      <c r="J2" s="4"/>
      <c r="K2" s="4"/>
      <c r="L2" s="4"/>
      <c r="M2" s="4"/>
      <c r="N2" s="4">
        <v>34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>
        <f>SUM(J2:AA2)</f>
        <v>34</v>
      </c>
      <c r="AC2" s="4">
        <v>1</v>
      </c>
    </row>
    <row r="3" spans="1:29" ht="21.15" customHeight="1" x14ac:dyDescent="0.3">
      <c r="A3" s="2" t="s">
        <v>29</v>
      </c>
      <c r="B3" s="3" t="s">
        <v>30</v>
      </c>
      <c r="C3" s="3" t="s">
        <v>38</v>
      </c>
      <c r="D3" s="3" t="s">
        <v>39</v>
      </c>
      <c r="E3" s="3" t="s">
        <v>40</v>
      </c>
      <c r="F3" s="3" t="s">
        <v>41</v>
      </c>
      <c r="G3" s="2" t="str">
        <f>VLOOKUP(D3,[1]费用科目!A:C,3,0)</f>
        <v>管理费用</v>
      </c>
      <c r="H3" s="3" t="s">
        <v>42</v>
      </c>
      <c r="I3" s="3" t="s">
        <v>43</v>
      </c>
      <c r="J3" s="4"/>
      <c r="K3" s="4"/>
      <c r="L3" s="4"/>
      <c r="M3" s="4"/>
      <c r="N3" s="4">
        <v>85.68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>
        <f t="shared" ref="AB3:AB66" si="0">SUM(J3:AA3)</f>
        <v>85.68</v>
      </c>
      <c r="AC3" s="4">
        <v>4</v>
      </c>
    </row>
    <row r="4" spans="1:29" ht="21.15" customHeight="1" x14ac:dyDescent="0.3">
      <c r="A4" s="2" t="s">
        <v>29</v>
      </c>
      <c r="B4" s="3" t="s">
        <v>30</v>
      </c>
      <c r="C4" s="3" t="s">
        <v>45</v>
      </c>
      <c r="D4" s="3" t="s">
        <v>46</v>
      </c>
      <c r="E4" s="3" t="s">
        <v>47</v>
      </c>
      <c r="F4" s="3" t="s">
        <v>48</v>
      </c>
      <c r="G4" s="2" t="str">
        <f>VLOOKUP(D4,[1]费用科目!A:C,3,0)</f>
        <v>管理费用</v>
      </c>
      <c r="H4" s="3" t="s">
        <v>42</v>
      </c>
      <c r="I4" s="3" t="s">
        <v>43</v>
      </c>
      <c r="J4" s="4"/>
      <c r="K4" s="4"/>
      <c r="L4" s="4"/>
      <c r="M4" s="4"/>
      <c r="N4" s="4">
        <v>15.22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>
        <f t="shared" si="0"/>
        <v>15.22</v>
      </c>
      <c r="AC4" s="4">
        <v>1</v>
      </c>
    </row>
    <row r="5" spans="1:29" ht="21.15" customHeight="1" x14ac:dyDescent="0.3">
      <c r="A5" s="2" t="s">
        <v>29</v>
      </c>
      <c r="B5" s="3" t="s">
        <v>30</v>
      </c>
      <c r="C5" s="3" t="s">
        <v>50</v>
      </c>
      <c r="D5" s="3" t="s">
        <v>51</v>
      </c>
      <c r="E5" s="3" t="s">
        <v>33</v>
      </c>
      <c r="F5" s="3" t="s">
        <v>34</v>
      </c>
      <c r="G5" s="2" t="str">
        <f>VLOOKUP(D5,[1]费用科目!A:C,3,0)</f>
        <v>管理费用</v>
      </c>
      <c r="H5" s="3" t="s">
        <v>258</v>
      </c>
      <c r="I5" s="3" t="s">
        <v>36</v>
      </c>
      <c r="J5" s="4"/>
      <c r="K5" s="4"/>
      <c r="L5" s="4">
        <v>233.9</v>
      </c>
      <c r="M5" s="4"/>
      <c r="N5" s="4">
        <v>58.1</v>
      </c>
      <c r="O5" s="4"/>
      <c r="P5" s="4"/>
      <c r="Q5" s="4"/>
      <c r="R5" s="4"/>
      <c r="S5" s="4">
        <v>3500</v>
      </c>
      <c r="T5" s="4"/>
      <c r="U5" s="4"/>
      <c r="V5" s="4"/>
      <c r="W5" s="4"/>
      <c r="X5" s="4"/>
      <c r="Y5" s="4"/>
      <c r="Z5" s="4"/>
      <c r="AA5" s="4"/>
      <c r="AB5" s="4">
        <f t="shared" si="0"/>
        <v>3792</v>
      </c>
      <c r="AC5" s="4">
        <v>4</v>
      </c>
    </row>
    <row r="6" spans="1:29" ht="21.15" customHeight="1" x14ac:dyDescent="0.3">
      <c r="A6" s="2" t="s">
        <v>29</v>
      </c>
      <c r="B6" s="3" t="s">
        <v>30</v>
      </c>
      <c r="C6" s="3" t="s">
        <v>53</v>
      </c>
      <c r="D6" s="3" t="s">
        <v>54</v>
      </c>
      <c r="E6" s="3" t="s">
        <v>55</v>
      </c>
      <c r="F6" s="3" t="s">
        <v>56</v>
      </c>
      <c r="G6" s="2" t="str">
        <f>VLOOKUP(D6,[1]费用科目!A:C,3,0)</f>
        <v>研发费用</v>
      </c>
      <c r="H6" s="3" t="s">
        <v>57</v>
      </c>
      <c r="I6" s="3" t="s">
        <v>36</v>
      </c>
      <c r="J6" s="4"/>
      <c r="K6" s="4"/>
      <c r="L6" s="4"/>
      <c r="M6" s="4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>
        <v>3500</v>
      </c>
      <c r="AB6" s="4">
        <f t="shared" si="0"/>
        <v>3500</v>
      </c>
      <c r="AC6" s="4">
        <v>1</v>
      </c>
    </row>
    <row r="7" spans="1:29" ht="21.15" customHeight="1" x14ac:dyDescent="0.3">
      <c r="A7" s="2" t="s">
        <v>29</v>
      </c>
      <c r="B7" s="3" t="s">
        <v>30</v>
      </c>
      <c r="C7" s="3" t="s">
        <v>59</v>
      </c>
      <c r="D7" s="3" t="s">
        <v>60</v>
      </c>
      <c r="E7" s="3" t="s">
        <v>41</v>
      </c>
      <c r="F7" s="3" t="s">
        <v>41</v>
      </c>
      <c r="G7" s="2" t="str">
        <f>VLOOKUP(D7,[1]费用科目!A:C,3,0)</f>
        <v>管理费用</v>
      </c>
      <c r="H7" s="3" t="s">
        <v>42</v>
      </c>
      <c r="I7" s="3" t="s">
        <v>36</v>
      </c>
      <c r="J7" s="4"/>
      <c r="K7" s="4"/>
      <c r="L7" s="4"/>
      <c r="M7" s="5"/>
      <c r="N7" s="4">
        <v>96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>
        <f t="shared" si="0"/>
        <v>96</v>
      </c>
      <c r="AC7" s="4">
        <v>12</v>
      </c>
    </row>
    <row r="8" spans="1:29" ht="21.15" customHeight="1" x14ac:dyDescent="0.3">
      <c r="A8" s="2" t="s">
        <v>29</v>
      </c>
      <c r="B8" s="3" t="s">
        <v>30</v>
      </c>
      <c r="C8" s="3" t="s">
        <v>61</v>
      </c>
      <c r="D8" s="3" t="s">
        <v>62</v>
      </c>
      <c r="E8" s="3" t="s">
        <v>63</v>
      </c>
      <c r="F8" s="3" t="s">
        <v>48</v>
      </c>
      <c r="G8" s="2" t="str">
        <f>VLOOKUP(D8,[1]费用科目!A:C,3,0)</f>
        <v>管理费用</v>
      </c>
      <c r="H8" s="2" t="s">
        <v>64</v>
      </c>
      <c r="I8" s="3" t="s">
        <v>65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1434</v>
      </c>
      <c r="X8" s="4"/>
      <c r="Y8" s="4"/>
      <c r="Z8" s="4"/>
      <c r="AA8" s="4"/>
      <c r="AB8" s="4">
        <f t="shared" si="0"/>
        <v>1434</v>
      </c>
      <c r="AC8" s="4">
        <v>1</v>
      </c>
    </row>
    <row r="9" spans="1:29" ht="21.15" customHeight="1" x14ac:dyDescent="0.3">
      <c r="A9" s="2" t="s">
        <v>29</v>
      </c>
      <c r="B9" s="3" t="s">
        <v>30</v>
      </c>
      <c r="C9" s="3" t="s">
        <v>67</v>
      </c>
      <c r="D9" s="3" t="s">
        <v>44</v>
      </c>
      <c r="E9" s="3" t="s">
        <v>33</v>
      </c>
      <c r="F9" s="3" t="s">
        <v>34</v>
      </c>
      <c r="G9" s="2" t="str">
        <f>VLOOKUP(D9,[1]费用科目!A:C,3,0)</f>
        <v>管理费用</v>
      </c>
      <c r="H9" s="3" t="s">
        <v>68</v>
      </c>
      <c r="I9" s="3" t="s">
        <v>65</v>
      </c>
      <c r="J9" s="4"/>
      <c r="K9" s="4"/>
      <c r="L9" s="4"/>
      <c r="M9" s="4"/>
      <c r="N9" s="4">
        <v>30.71</v>
      </c>
      <c r="O9" s="4"/>
      <c r="P9" s="4"/>
      <c r="Q9" s="4"/>
      <c r="R9" s="4"/>
      <c r="S9" s="4"/>
      <c r="T9" s="4"/>
      <c r="U9" s="4">
        <v>78</v>
      </c>
      <c r="V9" s="4"/>
      <c r="W9" s="4"/>
      <c r="X9" s="4"/>
      <c r="Y9" s="4"/>
      <c r="Z9" s="4"/>
      <c r="AA9" s="4"/>
      <c r="AB9" s="4">
        <f t="shared" si="0"/>
        <v>108.71000000000001</v>
      </c>
      <c r="AC9" s="4">
        <v>2</v>
      </c>
    </row>
    <row r="10" spans="1:29" ht="21.15" customHeight="1" x14ac:dyDescent="0.3">
      <c r="A10" s="2" t="s">
        <v>29</v>
      </c>
      <c r="B10" s="3" t="s">
        <v>30</v>
      </c>
      <c r="C10" s="3" t="s">
        <v>69</v>
      </c>
      <c r="D10" s="3" t="s">
        <v>49</v>
      </c>
      <c r="E10" s="3" t="s">
        <v>33</v>
      </c>
      <c r="F10" s="3" t="s">
        <v>34</v>
      </c>
      <c r="G10" s="2" t="str">
        <f>VLOOKUP(D10,[1]费用科目!A:C,3,0)</f>
        <v>管理费用</v>
      </c>
      <c r="H10" s="3" t="s">
        <v>70</v>
      </c>
      <c r="I10" s="3" t="s">
        <v>65</v>
      </c>
      <c r="J10" s="4"/>
      <c r="K10" s="4"/>
      <c r="L10" s="4">
        <v>12</v>
      </c>
      <c r="M10" s="4"/>
      <c r="N10" s="4"/>
      <c r="O10" s="4"/>
      <c r="P10" s="4"/>
      <c r="Q10" s="4"/>
      <c r="R10" s="4"/>
      <c r="S10" s="4"/>
      <c r="T10" s="4">
        <v>3031.12</v>
      </c>
      <c r="U10" s="4">
        <v>4706.3900000000003</v>
      </c>
      <c r="V10" s="4"/>
      <c r="W10" s="4"/>
      <c r="X10" s="4"/>
      <c r="Y10" s="4"/>
      <c r="Z10" s="4"/>
      <c r="AA10" s="4"/>
      <c r="AB10" s="4">
        <f t="shared" si="0"/>
        <v>7749.51</v>
      </c>
      <c r="AC10" s="4">
        <v>11</v>
      </c>
    </row>
    <row r="11" spans="1:29" ht="21.15" customHeight="1" x14ac:dyDescent="0.3">
      <c r="A11" s="2" t="s">
        <v>29</v>
      </c>
      <c r="B11" s="3" t="s">
        <v>30</v>
      </c>
      <c r="C11" s="3" t="s">
        <v>72</v>
      </c>
      <c r="D11" s="3" t="s">
        <v>73</v>
      </c>
      <c r="E11" s="3" t="s">
        <v>74</v>
      </c>
      <c r="F11" s="3" t="s">
        <v>75</v>
      </c>
      <c r="G11" s="2" t="str">
        <f>VLOOKUP(D11,[1]费用科目!A:C,3,0)</f>
        <v>研发费用</v>
      </c>
      <c r="H11" s="2" t="s">
        <v>76</v>
      </c>
      <c r="I11" s="3" t="s">
        <v>65</v>
      </c>
      <c r="J11" s="4"/>
      <c r="K11" s="4"/>
      <c r="L11" s="4"/>
      <c r="M11" s="4"/>
      <c r="N11" s="4"/>
      <c r="O11" s="4"/>
      <c r="P11" s="4"/>
      <c r="Q11" s="4">
        <v>6378.95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>
        <f t="shared" si="0"/>
        <v>6378.95</v>
      </c>
      <c r="AC11" s="4">
        <v>11</v>
      </c>
    </row>
    <row r="12" spans="1:29" ht="21.15" customHeight="1" x14ac:dyDescent="0.3">
      <c r="A12" s="2" t="s">
        <v>29</v>
      </c>
      <c r="B12" s="3" t="s">
        <v>30</v>
      </c>
      <c r="C12" s="3" t="s">
        <v>78</v>
      </c>
      <c r="D12" s="3" t="s">
        <v>79</v>
      </c>
      <c r="E12" s="3" t="s">
        <v>80</v>
      </c>
      <c r="F12" s="3" t="s">
        <v>75</v>
      </c>
      <c r="G12" s="2" t="str">
        <f>VLOOKUP(D12,[1]费用科目!A:C,3,0)</f>
        <v>研发费用</v>
      </c>
      <c r="H12" s="3" t="s">
        <v>42</v>
      </c>
      <c r="I12" s="3" t="s">
        <v>65</v>
      </c>
      <c r="J12" s="4"/>
      <c r="K12" s="4"/>
      <c r="L12" s="4"/>
      <c r="M12" s="4"/>
      <c r="N12" s="4">
        <v>111.72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f t="shared" si="0"/>
        <v>111.72</v>
      </c>
      <c r="AC12" s="4">
        <v>8</v>
      </c>
    </row>
    <row r="13" spans="1:29" ht="21.15" customHeight="1" x14ac:dyDescent="0.3">
      <c r="A13" s="2" t="s">
        <v>29</v>
      </c>
      <c r="B13" s="3" t="s">
        <v>30</v>
      </c>
      <c r="C13" s="3" t="s">
        <v>82</v>
      </c>
      <c r="D13" s="3" t="s">
        <v>81</v>
      </c>
      <c r="E13" s="3" t="s">
        <v>83</v>
      </c>
      <c r="F13" s="3" t="s">
        <v>75</v>
      </c>
      <c r="G13" s="2" t="str">
        <f>VLOOKUP(D13,[1]费用科目!A:C,3,0)</f>
        <v>研发费用</v>
      </c>
      <c r="H13" s="3" t="s">
        <v>42</v>
      </c>
      <c r="I13" s="3" t="s">
        <v>84</v>
      </c>
      <c r="J13" s="4"/>
      <c r="K13" s="4"/>
      <c r="L13" s="4"/>
      <c r="M13" s="4"/>
      <c r="N13" s="6">
        <v>45.4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>
        <f t="shared" si="0"/>
        <v>45.4</v>
      </c>
      <c r="AC13" s="4">
        <v>1</v>
      </c>
    </row>
    <row r="14" spans="1:29" ht="21.15" customHeight="1" x14ac:dyDescent="0.3">
      <c r="A14" s="2" t="s">
        <v>29</v>
      </c>
      <c r="B14" s="3" t="s">
        <v>30</v>
      </c>
      <c r="C14" s="3" t="s">
        <v>86</v>
      </c>
      <c r="D14" s="3" t="s">
        <v>87</v>
      </c>
      <c r="E14" s="3" t="s">
        <v>88</v>
      </c>
      <c r="F14" s="2" t="s">
        <v>75</v>
      </c>
      <c r="G14" s="2" t="str">
        <f>VLOOKUP(D14,[1]费用科目!A:C,3,0)</f>
        <v>研发费用</v>
      </c>
      <c r="H14" s="3" t="s">
        <v>35</v>
      </c>
      <c r="I14" s="3" t="s">
        <v>84</v>
      </c>
      <c r="J14" s="4"/>
      <c r="K14" s="4"/>
      <c r="L14" s="4">
        <v>127</v>
      </c>
      <c r="M14" s="4"/>
      <c r="N14" s="3"/>
      <c r="O14" s="4"/>
      <c r="P14" s="4"/>
      <c r="Q14" s="4"/>
      <c r="R14" s="4"/>
      <c r="S14" s="4"/>
      <c r="T14" s="5"/>
      <c r="U14" s="4"/>
      <c r="V14" s="4"/>
      <c r="W14" s="4"/>
      <c r="X14" s="4"/>
      <c r="Y14" s="4"/>
      <c r="Z14" s="4"/>
      <c r="AA14" s="4"/>
      <c r="AB14" s="4">
        <f t="shared" si="0"/>
        <v>127</v>
      </c>
      <c r="AC14" s="4">
        <v>1</v>
      </c>
    </row>
    <row r="15" spans="1:29" ht="21.15" customHeight="1" x14ac:dyDescent="0.3">
      <c r="A15" s="2" t="s">
        <v>29</v>
      </c>
      <c r="B15" s="3" t="s">
        <v>30</v>
      </c>
      <c r="C15" s="3" t="s">
        <v>89</v>
      </c>
      <c r="D15" s="3" t="s">
        <v>58</v>
      </c>
      <c r="E15" s="3" t="s">
        <v>90</v>
      </c>
      <c r="F15" s="2" t="s">
        <v>75</v>
      </c>
      <c r="G15" s="2" t="str">
        <f>VLOOKUP(D15,[1]费用科目!A:C,3,0)</f>
        <v>研发费用</v>
      </c>
      <c r="H15" s="2" t="s">
        <v>76</v>
      </c>
      <c r="I15" s="3" t="s">
        <v>84</v>
      </c>
      <c r="J15" s="4"/>
      <c r="K15" s="4"/>
      <c r="L15" s="4"/>
      <c r="M15" s="4"/>
      <c r="N15" s="4"/>
      <c r="O15" s="4"/>
      <c r="P15" s="6"/>
      <c r="Q15" s="4">
        <v>7101.35</v>
      </c>
      <c r="R15" s="4"/>
      <c r="S15" s="4">
        <v>2982.03</v>
      </c>
      <c r="T15" s="4"/>
      <c r="U15" s="4"/>
      <c r="V15" s="4"/>
      <c r="W15" s="4"/>
      <c r="X15" s="4"/>
      <c r="Y15" s="4"/>
      <c r="Z15" s="4"/>
      <c r="AA15" s="4"/>
      <c r="AB15" s="4">
        <f t="shared" si="0"/>
        <v>10083.380000000001</v>
      </c>
      <c r="AC15" s="4">
        <v>9</v>
      </c>
    </row>
    <row r="16" spans="1:29" ht="21.15" customHeight="1" x14ac:dyDescent="0.3">
      <c r="A16" s="2" t="s">
        <v>29</v>
      </c>
      <c r="B16" s="3" t="s">
        <v>30</v>
      </c>
      <c r="C16" s="3" t="s">
        <v>92</v>
      </c>
      <c r="D16" s="3" t="s">
        <v>93</v>
      </c>
      <c r="E16" s="3" t="s">
        <v>94</v>
      </c>
      <c r="F16" s="3" t="s">
        <v>75</v>
      </c>
      <c r="G16" s="2" t="str">
        <f>VLOOKUP(D16,[1]费用科目!A:C,3,0)</f>
        <v>研发费用</v>
      </c>
      <c r="H16" s="3" t="s">
        <v>42</v>
      </c>
      <c r="I16" s="3" t="s">
        <v>84</v>
      </c>
      <c r="J16" s="4"/>
      <c r="K16" s="4"/>
      <c r="L16" s="4"/>
      <c r="M16" s="4"/>
      <c r="N16" s="4">
        <v>75.8</v>
      </c>
      <c r="O16" s="4"/>
      <c r="P16" s="4"/>
      <c r="Q16" s="4"/>
      <c r="R16" s="4"/>
      <c r="S16" s="4"/>
      <c r="T16" s="5"/>
      <c r="U16" s="4"/>
      <c r="V16" s="4"/>
      <c r="W16" s="4"/>
      <c r="X16" s="4"/>
      <c r="Y16" s="4"/>
      <c r="Z16" s="4"/>
      <c r="AA16" s="4"/>
      <c r="AB16" s="4">
        <f t="shared" si="0"/>
        <v>75.8</v>
      </c>
      <c r="AC16" s="4">
        <v>2</v>
      </c>
    </row>
    <row r="17" spans="1:29" ht="21.15" customHeight="1" x14ac:dyDescent="0.3">
      <c r="A17" s="2" t="s">
        <v>29</v>
      </c>
      <c r="B17" s="3" t="s">
        <v>30</v>
      </c>
      <c r="C17" s="3" t="s">
        <v>96</v>
      </c>
      <c r="D17" s="3" t="s">
        <v>97</v>
      </c>
      <c r="E17" s="3" t="s">
        <v>33</v>
      </c>
      <c r="F17" s="3" t="s">
        <v>34</v>
      </c>
      <c r="G17" s="2" t="str">
        <f>VLOOKUP(D17,[1]费用科目!A:C,3,0)</f>
        <v>管理费用</v>
      </c>
      <c r="H17" s="2" t="s">
        <v>98</v>
      </c>
      <c r="I17" s="3" t="s">
        <v>99</v>
      </c>
      <c r="J17" s="4"/>
      <c r="K17" s="4"/>
      <c r="L17" s="4"/>
      <c r="M17" s="4"/>
      <c r="N17" s="6"/>
      <c r="O17" s="4"/>
      <c r="P17" s="4"/>
      <c r="Q17" s="4"/>
      <c r="R17" s="4"/>
      <c r="S17" s="4"/>
      <c r="T17" s="4">
        <v>3179.37</v>
      </c>
      <c r="U17" s="4">
        <v>296.20999999999998</v>
      </c>
      <c r="V17" s="4"/>
      <c r="W17" s="4"/>
      <c r="X17" s="4"/>
      <c r="Y17" s="4"/>
      <c r="Z17" s="4"/>
      <c r="AA17" s="4"/>
      <c r="AB17" s="4">
        <f t="shared" si="0"/>
        <v>3475.58</v>
      </c>
      <c r="AC17" s="4">
        <v>15</v>
      </c>
    </row>
    <row r="18" spans="1:29" ht="21.15" customHeight="1" x14ac:dyDescent="0.3">
      <c r="A18" s="2" t="s">
        <v>29</v>
      </c>
      <c r="B18" s="3" t="s">
        <v>30</v>
      </c>
      <c r="C18" s="3" t="s">
        <v>101</v>
      </c>
      <c r="D18" s="3" t="s">
        <v>102</v>
      </c>
      <c r="E18" s="3" t="s">
        <v>103</v>
      </c>
      <c r="F18" s="2" t="s">
        <v>56</v>
      </c>
      <c r="G18" s="2" t="str">
        <f>VLOOKUP(D18,[1]费用科目!A:C,3,0)</f>
        <v>研发费用</v>
      </c>
      <c r="H18" s="3" t="s">
        <v>104</v>
      </c>
      <c r="I18" s="3" t="s">
        <v>99</v>
      </c>
      <c r="J18" s="4">
        <v>106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>
        <f t="shared" si="0"/>
        <v>106</v>
      </c>
      <c r="AC18" s="4">
        <v>2</v>
      </c>
    </row>
    <row r="19" spans="1:29" ht="21.15" customHeight="1" x14ac:dyDescent="0.3">
      <c r="A19" s="2" t="s">
        <v>29</v>
      </c>
      <c r="B19" s="3" t="s">
        <v>30</v>
      </c>
      <c r="C19" s="3" t="s">
        <v>106</v>
      </c>
      <c r="D19" s="3" t="s">
        <v>95</v>
      </c>
      <c r="E19" s="3" t="s">
        <v>107</v>
      </c>
      <c r="F19" s="3" t="s">
        <v>75</v>
      </c>
      <c r="G19" s="2" t="str">
        <f>VLOOKUP(D19,[1]费用科目!A:C,3,0)</f>
        <v>研发费用</v>
      </c>
      <c r="H19" s="2" t="s">
        <v>42</v>
      </c>
      <c r="I19" s="3" t="s">
        <v>99</v>
      </c>
      <c r="J19" s="4"/>
      <c r="K19" s="4"/>
      <c r="L19" s="4"/>
      <c r="M19" s="4"/>
      <c r="N19" s="4">
        <v>145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>
        <f t="shared" si="0"/>
        <v>145</v>
      </c>
      <c r="AC19" s="4">
        <v>2</v>
      </c>
    </row>
    <row r="20" spans="1:29" ht="21.15" customHeight="1" x14ac:dyDescent="0.3">
      <c r="A20" s="2" t="s">
        <v>29</v>
      </c>
      <c r="B20" s="3" t="s">
        <v>30</v>
      </c>
      <c r="C20" s="3" t="s">
        <v>109</v>
      </c>
      <c r="D20" s="3" t="s">
        <v>110</v>
      </c>
      <c r="E20" s="3" t="s">
        <v>94</v>
      </c>
      <c r="F20" s="2" t="s">
        <v>75</v>
      </c>
      <c r="G20" s="2" t="str">
        <f>VLOOKUP(D20,[1]费用科目!A:C,3,0)</f>
        <v>研发费用</v>
      </c>
      <c r="H20" s="2" t="s">
        <v>42</v>
      </c>
      <c r="I20" s="3" t="s">
        <v>99</v>
      </c>
      <c r="J20" s="4"/>
      <c r="K20" s="4"/>
      <c r="L20" s="4"/>
      <c r="M20" s="4"/>
      <c r="N20" s="4">
        <v>43.46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>
        <f t="shared" si="0"/>
        <v>43.46</v>
      </c>
      <c r="AC20" s="4">
        <v>1</v>
      </c>
    </row>
    <row r="21" spans="1:29" ht="21.15" customHeight="1" x14ac:dyDescent="0.3">
      <c r="A21" s="2" t="s">
        <v>29</v>
      </c>
      <c r="B21" s="3" t="s">
        <v>30</v>
      </c>
      <c r="C21" s="3" t="s">
        <v>111</v>
      </c>
      <c r="D21" s="3" t="s">
        <v>105</v>
      </c>
      <c r="E21" s="3" t="s">
        <v>94</v>
      </c>
      <c r="F21" s="3" t="s">
        <v>75</v>
      </c>
      <c r="G21" s="2" t="str">
        <f>VLOOKUP(D21,[1]费用科目!A:C,3,0)</f>
        <v>研发费用</v>
      </c>
      <c r="H21" s="3" t="s">
        <v>42</v>
      </c>
      <c r="I21" s="3" t="s">
        <v>99</v>
      </c>
      <c r="J21" s="4"/>
      <c r="K21" s="4"/>
      <c r="L21" s="4"/>
      <c r="M21" s="4"/>
      <c r="N21" s="6">
        <v>346.6</v>
      </c>
      <c r="O21" s="4"/>
      <c r="P21" s="4"/>
      <c r="Q21" s="4"/>
      <c r="R21" s="4"/>
      <c r="S21" s="4"/>
      <c r="T21" s="4"/>
      <c r="U21" s="3"/>
      <c r="V21" s="4"/>
      <c r="W21" s="4"/>
      <c r="X21" s="4"/>
      <c r="Y21" s="4"/>
      <c r="Z21" s="4"/>
      <c r="AA21" s="4"/>
      <c r="AB21" s="4">
        <f t="shared" si="0"/>
        <v>346.6</v>
      </c>
      <c r="AC21" s="4">
        <v>1</v>
      </c>
    </row>
    <row r="22" spans="1:29" ht="21.15" customHeight="1" x14ac:dyDescent="0.3">
      <c r="A22" s="2" t="s">
        <v>29</v>
      </c>
      <c r="B22" s="3" t="s">
        <v>30</v>
      </c>
      <c r="C22" s="3" t="s">
        <v>113</v>
      </c>
      <c r="D22" s="3" t="s">
        <v>114</v>
      </c>
      <c r="E22" s="3" t="s">
        <v>80</v>
      </c>
      <c r="F22" s="3" t="s">
        <v>75</v>
      </c>
      <c r="G22" s="2" t="str">
        <f>VLOOKUP(D22,[1]费用科目!A:C,3,0)</f>
        <v>研发费用</v>
      </c>
      <c r="H22" s="3" t="s">
        <v>42</v>
      </c>
      <c r="I22" s="3" t="s">
        <v>99</v>
      </c>
      <c r="J22" s="4"/>
      <c r="K22" s="4"/>
      <c r="L22" s="4"/>
      <c r="M22" s="5"/>
      <c r="N22" s="4">
        <v>35.049999999999997</v>
      </c>
      <c r="O22" s="4"/>
      <c r="P22" s="4"/>
      <c r="Q22" s="4"/>
      <c r="R22" s="4"/>
      <c r="S22" s="4"/>
      <c r="T22" s="4"/>
      <c r="U22" s="3"/>
      <c r="V22" s="4"/>
      <c r="W22" s="4"/>
      <c r="X22" s="4"/>
      <c r="Y22" s="4"/>
      <c r="Z22" s="4"/>
      <c r="AA22" s="4"/>
      <c r="AB22" s="4">
        <f t="shared" si="0"/>
        <v>35.049999999999997</v>
      </c>
      <c r="AC22" s="4">
        <v>3</v>
      </c>
    </row>
    <row r="23" spans="1:29" ht="21.15" customHeight="1" x14ac:dyDescent="0.3">
      <c r="A23" s="2" t="s">
        <v>29</v>
      </c>
      <c r="B23" s="3" t="s">
        <v>30</v>
      </c>
      <c r="C23" s="3" t="s">
        <v>115</v>
      </c>
      <c r="D23" s="3" t="s">
        <v>85</v>
      </c>
      <c r="E23" s="3" t="s">
        <v>116</v>
      </c>
      <c r="F23" s="2" t="s">
        <v>75</v>
      </c>
      <c r="G23" s="2" t="str">
        <f>VLOOKUP(D23,[1]费用科目!A:C,3,0)</f>
        <v>研发费用</v>
      </c>
      <c r="H23" s="3" t="s">
        <v>42</v>
      </c>
      <c r="I23" s="3" t="s">
        <v>99</v>
      </c>
      <c r="J23" s="4"/>
      <c r="K23" s="4"/>
      <c r="L23" s="4"/>
      <c r="M23" s="4"/>
      <c r="N23" s="4">
        <v>56.08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>
        <f t="shared" si="0"/>
        <v>56.08</v>
      </c>
      <c r="AC23" s="4">
        <v>1</v>
      </c>
    </row>
    <row r="24" spans="1:29" ht="21.15" customHeight="1" x14ac:dyDescent="0.3">
      <c r="A24" s="2" t="s">
        <v>29</v>
      </c>
      <c r="B24" s="3" t="s">
        <v>30</v>
      </c>
      <c r="C24" s="3" t="s">
        <v>117</v>
      </c>
      <c r="D24" s="3" t="s">
        <v>118</v>
      </c>
      <c r="E24" s="3" t="s">
        <v>83</v>
      </c>
      <c r="F24" s="3" t="s">
        <v>75</v>
      </c>
      <c r="G24" s="2" t="str">
        <f>VLOOKUP(D24,[1]费用科目!A:C,3,0)</f>
        <v>研发费用</v>
      </c>
      <c r="H24" s="3" t="s">
        <v>42</v>
      </c>
      <c r="I24" s="3" t="s">
        <v>119</v>
      </c>
      <c r="J24" s="4"/>
      <c r="K24" s="4"/>
      <c r="L24" s="4"/>
      <c r="M24" s="4"/>
      <c r="N24" s="4">
        <v>50.83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>
        <f t="shared" si="0"/>
        <v>50.83</v>
      </c>
      <c r="AC24" s="4">
        <v>1</v>
      </c>
    </row>
    <row r="25" spans="1:29" ht="21.15" customHeight="1" x14ac:dyDescent="0.3">
      <c r="A25" s="2" t="s">
        <v>29</v>
      </c>
      <c r="B25" s="3" t="s">
        <v>30</v>
      </c>
      <c r="C25" s="3" t="s">
        <v>120</v>
      </c>
      <c r="D25" s="3" t="s">
        <v>121</v>
      </c>
      <c r="E25" s="3" t="s">
        <v>122</v>
      </c>
      <c r="F25" s="3" t="s">
        <v>48</v>
      </c>
      <c r="G25" s="2" t="str">
        <f>VLOOKUP(D25,[1]费用科目!A:C,3,0)</f>
        <v>管理费用</v>
      </c>
      <c r="H25" s="3" t="s">
        <v>104</v>
      </c>
      <c r="I25" s="3" t="s">
        <v>123</v>
      </c>
      <c r="J25" s="4">
        <v>424</v>
      </c>
      <c r="K25" s="4"/>
      <c r="L25" s="4"/>
      <c r="M25" s="4"/>
      <c r="N25" s="4">
        <v>73.760000000000005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f t="shared" si="0"/>
        <v>497.76</v>
      </c>
      <c r="AC25" s="4">
        <v>5</v>
      </c>
    </row>
    <row r="26" spans="1:29" ht="21.15" customHeight="1" x14ac:dyDescent="0.3">
      <c r="A26" s="2" t="s">
        <v>29</v>
      </c>
      <c r="B26" s="3" t="s">
        <v>30</v>
      </c>
      <c r="C26" s="3" t="s">
        <v>125</v>
      </c>
      <c r="D26" s="3" t="s">
        <v>126</v>
      </c>
      <c r="E26" s="3" t="s">
        <v>122</v>
      </c>
      <c r="F26" s="2" t="s">
        <v>48</v>
      </c>
      <c r="G26" s="2" t="str">
        <f>VLOOKUP(D26,[1]费用科目!A:C,3,0)</f>
        <v>管理费用</v>
      </c>
      <c r="H26" s="3" t="s">
        <v>104</v>
      </c>
      <c r="I26" s="3" t="s">
        <v>123</v>
      </c>
      <c r="J26" s="4">
        <v>424</v>
      </c>
      <c r="K26" s="4"/>
      <c r="L26" s="4"/>
      <c r="M26" s="4"/>
      <c r="N26" s="4">
        <v>27.71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>
        <f t="shared" si="0"/>
        <v>451.71</v>
      </c>
      <c r="AC26" s="4">
        <v>3</v>
      </c>
    </row>
    <row r="27" spans="1:29" ht="21.15" customHeight="1" x14ac:dyDescent="0.3">
      <c r="A27" s="2" t="s">
        <v>29</v>
      </c>
      <c r="B27" s="3" t="s">
        <v>30</v>
      </c>
      <c r="C27" s="3" t="s">
        <v>128</v>
      </c>
      <c r="D27" s="3" t="s">
        <v>37</v>
      </c>
      <c r="E27" s="3" t="s">
        <v>129</v>
      </c>
      <c r="F27" s="3" t="s">
        <v>75</v>
      </c>
      <c r="G27" s="2" t="str">
        <f>VLOOKUP(D27,[1]费用科目!A:C,3,0)</f>
        <v>研发费用</v>
      </c>
      <c r="H27" s="3" t="s">
        <v>130</v>
      </c>
      <c r="I27" s="3" t="s">
        <v>131</v>
      </c>
      <c r="J27" s="4">
        <v>538</v>
      </c>
      <c r="K27" s="4">
        <v>119.75</v>
      </c>
      <c r="L27" s="4">
        <v>110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>
        <v>1368</v>
      </c>
      <c r="AB27" s="4">
        <f t="shared" si="0"/>
        <v>2135.75</v>
      </c>
      <c r="AC27" s="4">
        <v>5</v>
      </c>
    </row>
    <row r="28" spans="1:29" ht="21.15" customHeight="1" x14ac:dyDescent="0.3">
      <c r="A28" s="2" t="s">
        <v>29</v>
      </c>
      <c r="B28" s="3" t="s">
        <v>30</v>
      </c>
      <c r="C28" s="3" t="s">
        <v>132</v>
      </c>
      <c r="D28" s="3" t="s">
        <v>133</v>
      </c>
      <c r="E28" s="3" t="s">
        <v>107</v>
      </c>
      <c r="F28" s="2" t="s">
        <v>75</v>
      </c>
      <c r="G28" s="2" t="str">
        <f>VLOOKUP(D28,[1]费用科目!A:C,3,0)</f>
        <v>研发费用</v>
      </c>
      <c r="H28" s="3" t="s">
        <v>42</v>
      </c>
      <c r="I28" s="3" t="s">
        <v>134</v>
      </c>
      <c r="J28" s="4"/>
      <c r="K28" s="4"/>
      <c r="L28" s="4"/>
      <c r="M28" s="4"/>
      <c r="N28" s="4">
        <v>30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>
        <f t="shared" si="0"/>
        <v>30</v>
      </c>
      <c r="AC28" s="4">
        <v>1</v>
      </c>
    </row>
    <row r="29" spans="1:29" ht="21.15" customHeight="1" x14ac:dyDescent="0.3">
      <c r="A29" s="2" t="s">
        <v>29</v>
      </c>
      <c r="B29" s="3" t="s">
        <v>30</v>
      </c>
      <c r="C29" s="3" t="s">
        <v>135</v>
      </c>
      <c r="D29" s="3" t="s">
        <v>124</v>
      </c>
      <c r="E29" s="3" t="s">
        <v>88</v>
      </c>
      <c r="F29" s="2" t="s">
        <v>75</v>
      </c>
      <c r="G29" s="2" t="str">
        <f>VLOOKUP(D29,[1]费用科目!A:C,3,0)</f>
        <v>研发费用</v>
      </c>
      <c r="H29" s="3" t="s">
        <v>76</v>
      </c>
      <c r="I29" s="3" t="s">
        <v>134</v>
      </c>
      <c r="J29" s="4"/>
      <c r="K29" s="4"/>
      <c r="L29" s="4"/>
      <c r="M29" s="4"/>
      <c r="N29" s="4"/>
      <c r="O29" s="4"/>
      <c r="P29" s="4"/>
      <c r="Q29" s="4">
        <v>1102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>
        <f t="shared" si="0"/>
        <v>1102</v>
      </c>
      <c r="AC29" s="4">
        <v>1</v>
      </c>
    </row>
    <row r="30" spans="1:29" ht="21.15" customHeight="1" x14ac:dyDescent="0.3">
      <c r="A30" s="2" t="s">
        <v>29</v>
      </c>
      <c r="B30" s="3" t="s">
        <v>30</v>
      </c>
      <c r="C30" s="3" t="s">
        <v>136</v>
      </c>
      <c r="D30" s="3" t="s">
        <v>81</v>
      </c>
      <c r="E30" s="3" t="s">
        <v>83</v>
      </c>
      <c r="F30" s="2" t="s">
        <v>75</v>
      </c>
      <c r="G30" s="2" t="str">
        <f>VLOOKUP(D30,[1]费用科目!A:C,3,0)</f>
        <v>研发费用</v>
      </c>
      <c r="H30" s="3" t="s">
        <v>42</v>
      </c>
      <c r="I30" s="3" t="s">
        <v>137</v>
      </c>
      <c r="J30" s="4"/>
      <c r="K30" s="4"/>
      <c r="L30" s="4"/>
      <c r="M30" s="4"/>
      <c r="N30" s="4"/>
      <c r="O30" s="4"/>
      <c r="P30" s="4"/>
      <c r="Q30" s="4">
        <v>212.7</v>
      </c>
      <c r="R30" s="4"/>
      <c r="S30" s="3"/>
      <c r="T30" s="4"/>
      <c r="U30" s="4"/>
      <c r="V30" s="4"/>
      <c r="W30" s="4"/>
      <c r="X30" s="4"/>
      <c r="Y30" s="4"/>
      <c r="Z30" s="4"/>
      <c r="AA30" s="4"/>
      <c r="AB30" s="4">
        <f t="shared" si="0"/>
        <v>212.7</v>
      </c>
      <c r="AC30" s="4">
        <v>1</v>
      </c>
    </row>
    <row r="31" spans="1:29" ht="21.15" customHeight="1" x14ac:dyDescent="0.3">
      <c r="A31" s="2" t="s">
        <v>29</v>
      </c>
      <c r="B31" s="3" t="s">
        <v>30</v>
      </c>
      <c r="C31" s="3" t="s">
        <v>138</v>
      </c>
      <c r="D31" s="3" t="s">
        <v>73</v>
      </c>
      <c r="E31" s="3" t="s">
        <v>74</v>
      </c>
      <c r="F31" s="2" t="s">
        <v>75</v>
      </c>
      <c r="G31" s="2" t="str">
        <f>VLOOKUP(D31,[1]费用科目!A:C,3,0)</f>
        <v>研发费用</v>
      </c>
      <c r="H31" s="3" t="s">
        <v>76</v>
      </c>
      <c r="I31" s="3" t="s">
        <v>139</v>
      </c>
      <c r="J31" s="4"/>
      <c r="K31" s="4"/>
      <c r="L31" s="4"/>
      <c r="M31" s="4"/>
      <c r="N31" s="4"/>
      <c r="O31" s="4"/>
      <c r="P31" s="4"/>
      <c r="Q31" s="4">
        <v>845.97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>
        <f t="shared" si="0"/>
        <v>845.97</v>
      </c>
      <c r="AC31" s="4">
        <v>2</v>
      </c>
    </row>
    <row r="32" spans="1:29" ht="21.15" customHeight="1" x14ac:dyDescent="0.3">
      <c r="A32" s="2" t="s">
        <v>29</v>
      </c>
      <c r="B32" s="3" t="s">
        <v>30</v>
      </c>
      <c r="C32" s="3" t="s">
        <v>140</v>
      </c>
      <c r="D32" s="3" t="s">
        <v>77</v>
      </c>
      <c r="E32" s="3" t="s">
        <v>47</v>
      </c>
      <c r="F32" s="2" t="s">
        <v>48</v>
      </c>
      <c r="G32" s="2" t="str">
        <f>VLOOKUP(D32,[1]费用科目!A:C,3,0)</f>
        <v>管理费用</v>
      </c>
      <c r="H32" s="3" t="s">
        <v>42</v>
      </c>
      <c r="I32" s="3" t="s">
        <v>141</v>
      </c>
      <c r="J32" s="4"/>
      <c r="K32" s="4"/>
      <c r="L32" s="4"/>
      <c r="M32" s="4"/>
      <c r="N32" s="4">
        <v>130.30000000000001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>
        <f t="shared" si="0"/>
        <v>130.30000000000001</v>
      </c>
      <c r="AC32" s="4">
        <v>1</v>
      </c>
    </row>
    <row r="33" spans="1:29" ht="21.15" customHeight="1" x14ac:dyDescent="0.3">
      <c r="A33" s="2" t="s">
        <v>29</v>
      </c>
      <c r="B33" s="3" t="s">
        <v>30</v>
      </c>
      <c r="C33" s="3" t="s">
        <v>142</v>
      </c>
      <c r="D33" s="3" t="s">
        <v>143</v>
      </c>
      <c r="E33" s="3" t="s">
        <v>80</v>
      </c>
      <c r="F33" s="3" t="s">
        <v>75</v>
      </c>
      <c r="G33" s="2" t="str">
        <f>VLOOKUP(D33,[1]费用科目!A:C,3,0)</f>
        <v>研发费用</v>
      </c>
      <c r="H33" s="3" t="s">
        <v>42</v>
      </c>
      <c r="I33" s="3" t="s">
        <v>144</v>
      </c>
      <c r="J33" s="4"/>
      <c r="K33" s="4"/>
      <c r="L33" s="4"/>
      <c r="M33" s="4"/>
      <c r="N33" s="4">
        <v>33.130000000000003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>
        <f t="shared" si="0"/>
        <v>33.130000000000003</v>
      </c>
      <c r="AC33" s="4">
        <v>1</v>
      </c>
    </row>
    <row r="34" spans="1:29" ht="21.15" customHeight="1" x14ac:dyDescent="0.3">
      <c r="A34" s="2" t="s">
        <v>29</v>
      </c>
      <c r="B34" s="3" t="s">
        <v>30</v>
      </c>
      <c r="C34" s="3" t="s">
        <v>145</v>
      </c>
      <c r="D34" s="3" t="s">
        <v>143</v>
      </c>
      <c r="E34" s="3" t="s">
        <v>80</v>
      </c>
      <c r="F34" s="3" t="s">
        <v>75</v>
      </c>
      <c r="G34" s="2" t="str">
        <f>VLOOKUP(D34,[1]费用科目!A:C,3,0)</f>
        <v>研发费用</v>
      </c>
      <c r="H34" s="3" t="s">
        <v>42</v>
      </c>
      <c r="I34" s="3" t="s">
        <v>144</v>
      </c>
      <c r="J34" s="4"/>
      <c r="K34" s="4"/>
      <c r="L34" s="4"/>
      <c r="M34" s="4"/>
      <c r="N34" s="4">
        <v>178.3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>
        <f t="shared" si="0"/>
        <v>178.3</v>
      </c>
      <c r="AC34" s="4">
        <v>1</v>
      </c>
    </row>
    <row r="35" spans="1:29" ht="21.15" customHeight="1" x14ac:dyDescent="0.3">
      <c r="A35" s="2" t="s">
        <v>29</v>
      </c>
      <c r="B35" s="3" t="s">
        <v>30</v>
      </c>
      <c r="C35" s="3" t="s">
        <v>146</v>
      </c>
      <c r="D35" s="3" t="s">
        <v>147</v>
      </c>
      <c r="E35" s="3" t="s">
        <v>148</v>
      </c>
      <c r="F35" s="2" t="s">
        <v>75</v>
      </c>
      <c r="G35" s="2" t="str">
        <f>VLOOKUP(D35,[1]费用科目!A:C,3,0)</f>
        <v>研发费用</v>
      </c>
      <c r="H35" s="3" t="s">
        <v>149</v>
      </c>
      <c r="I35" s="3" t="s">
        <v>150</v>
      </c>
      <c r="J35" s="4"/>
      <c r="K35" s="4"/>
      <c r="L35" s="4"/>
      <c r="M35" s="4"/>
      <c r="N35" s="4"/>
      <c r="O35" s="4"/>
      <c r="P35" s="4"/>
      <c r="Q35" s="4"/>
      <c r="R35" s="4"/>
      <c r="S35" s="4">
        <v>2028</v>
      </c>
      <c r="T35" s="4"/>
      <c r="U35" s="4"/>
      <c r="V35" s="4"/>
      <c r="W35" s="4"/>
      <c r="X35" s="4"/>
      <c r="Y35" s="4"/>
      <c r="Z35" s="4"/>
      <c r="AA35" s="4"/>
      <c r="AB35" s="4">
        <f t="shared" si="0"/>
        <v>2028</v>
      </c>
      <c r="AC35" s="4">
        <v>1</v>
      </c>
    </row>
    <row r="36" spans="1:29" ht="21.15" customHeight="1" x14ac:dyDescent="0.3">
      <c r="A36" s="2" t="s">
        <v>29</v>
      </c>
      <c r="B36" s="3" t="s">
        <v>30</v>
      </c>
      <c r="C36" s="3" t="s">
        <v>151</v>
      </c>
      <c r="D36" s="3" t="s">
        <v>52</v>
      </c>
      <c r="E36" s="3" t="s">
        <v>152</v>
      </c>
      <c r="F36" s="3" t="s">
        <v>75</v>
      </c>
      <c r="G36" s="2" t="str">
        <f>VLOOKUP(D36,[1]费用科目!A:C,3,0)</f>
        <v>研发费用</v>
      </c>
      <c r="H36" s="3" t="s">
        <v>153</v>
      </c>
      <c r="I36" s="3" t="s">
        <v>84</v>
      </c>
      <c r="J36" s="4"/>
      <c r="K36" s="4"/>
      <c r="L36" s="4"/>
      <c r="M36" s="4"/>
      <c r="N36" s="4"/>
      <c r="O36" s="4"/>
      <c r="P36" s="4"/>
      <c r="Q36" s="4"/>
      <c r="R36" s="4"/>
      <c r="S36" s="4">
        <v>7160</v>
      </c>
      <c r="T36" s="4"/>
      <c r="U36" s="4"/>
      <c r="V36" s="4"/>
      <c r="W36" s="4"/>
      <c r="X36" s="4"/>
      <c r="Y36" s="4"/>
      <c r="Z36" s="4"/>
      <c r="AA36" s="4"/>
      <c r="AB36" s="4">
        <f t="shared" si="0"/>
        <v>7160</v>
      </c>
      <c r="AC36" s="4">
        <v>1</v>
      </c>
    </row>
    <row r="37" spans="1:29" ht="21.15" customHeight="1" x14ac:dyDescent="0.3">
      <c r="A37" s="2" t="s">
        <v>29</v>
      </c>
      <c r="B37" s="3" t="s">
        <v>30</v>
      </c>
      <c r="C37" s="3" t="s">
        <v>154</v>
      </c>
      <c r="D37" s="3" t="s">
        <v>66</v>
      </c>
      <c r="E37" s="3" t="s">
        <v>33</v>
      </c>
      <c r="F37" s="3" t="s">
        <v>34</v>
      </c>
      <c r="G37" s="2" t="str">
        <f>VLOOKUP(D37,[1]费用科目!A:C,3,0)</f>
        <v>管理费用</v>
      </c>
      <c r="H37" s="3" t="s">
        <v>35</v>
      </c>
      <c r="I37" s="3" t="s">
        <v>65</v>
      </c>
      <c r="J37" s="4"/>
      <c r="K37" s="4"/>
      <c r="L37" s="4"/>
      <c r="M37" s="4"/>
      <c r="N37" s="4">
        <v>126.24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>
        <f t="shared" si="0"/>
        <v>126.24</v>
      </c>
      <c r="AC37" s="4">
        <v>2</v>
      </c>
    </row>
    <row r="38" spans="1:29" ht="21.15" customHeight="1" x14ac:dyDescent="0.3">
      <c r="A38" s="2" t="s">
        <v>155</v>
      </c>
      <c r="B38" s="3" t="s">
        <v>30</v>
      </c>
      <c r="C38" s="3" t="s">
        <v>156</v>
      </c>
      <c r="D38" s="3" t="s">
        <v>58</v>
      </c>
      <c r="E38" s="3" t="s">
        <v>75</v>
      </c>
      <c r="F38" s="3" t="s">
        <v>75</v>
      </c>
      <c r="G38" s="2" t="str">
        <f>VLOOKUP(D38,[1]费用科目!A:C,3,0)</f>
        <v>研发费用</v>
      </c>
      <c r="H38" s="3" t="s">
        <v>157</v>
      </c>
      <c r="I38" s="3" t="s">
        <v>36</v>
      </c>
      <c r="J38" s="4">
        <v>126</v>
      </c>
      <c r="K38" s="4"/>
      <c r="L38" s="4"/>
      <c r="M38" s="4"/>
      <c r="N38" s="4">
        <v>84.2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>
        <f t="shared" si="0"/>
        <v>210.2</v>
      </c>
      <c r="AC38" s="4">
        <v>4</v>
      </c>
    </row>
    <row r="39" spans="1:29" ht="21.15" customHeight="1" x14ac:dyDescent="0.3">
      <c r="A39" s="2" t="s">
        <v>155</v>
      </c>
      <c r="B39" s="3" t="s">
        <v>30</v>
      </c>
      <c r="C39" s="3" t="s">
        <v>158</v>
      </c>
      <c r="D39" s="3" t="s">
        <v>60</v>
      </c>
      <c r="E39" s="3" t="s">
        <v>41</v>
      </c>
      <c r="F39" s="2" t="s">
        <v>41</v>
      </c>
      <c r="G39" s="2" t="str">
        <f>VLOOKUP(D39,[1]费用科目!A:C,3,0)</f>
        <v>管理费用</v>
      </c>
      <c r="H39" s="3" t="s">
        <v>157</v>
      </c>
      <c r="I39" s="3" t="s">
        <v>65</v>
      </c>
      <c r="J39" s="4"/>
      <c r="K39" s="4"/>
      <c r="L39" s="4"/>
      <c r="M39" s="4"/>
      <c r="N39" s="4">
        <v>90.09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>
        <f t="shared" si="0"/>
        <v>90.09</v>
      </c>
      <c r="AC39" s="4">
        <v>2</v>
      </c>
    </row>
    <row r="40" spans="1:29" ht="21.15" customHeight="1" x14ac:dyDescent="0.3">
      <c r="A40" s="2" t="s">
        <v>155</v>
      </c>
      <c r="B40" s="3" t="s">
        <v>30</v>
      </c>
      <c r="C40" s="3" t="s">
        <v>159</v>
      </c>
      <c r="D40" s="3" t="s">
        <v>39</v>
      </c>
      <c r="E40" s="3" t="s">
        <v>40</v>
      </c>
      <c r="F40" s="2" t="s">
        <v>41</v>
      </c>
      <c r="G40" s="2" t="str">
        <f>VLOOKUP(D40,[1]费用科目!A:C,3,0)</f>
        <v>管理费用</v>
      </c>
      <c r="H40" s="3" t="s">
        <v>160</v>
      </c>
      <c r="I40" s="3" t="s">
        <v>43</v>
      </c>
      <c r="J40" s="4"/>
      <c r="K40" s="4"/>
      <c r="L40" s="4"/>
      <c r="M40" s="4"/>
      <c r="N40" s="4">
        <v>403.05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>
        <f t="shared" si="0"/>
        <v>403.05</v>
      </c>
      <c r="AC40" s="4">
        <v>5</v>
      </c>
    </row>
    <row r="41" spans="1:29" ht="21.15" customHeight="1" x14ac:dyDescent="0.3">
      <c r="A41" s="2" t="s">
        <v>155</v>
      </c>
      <c r="B41" s="3" t="s">
        <v>30</v>
      </c>
      <c r="C41" s="3" t="s">
        <v>161</v>
      </c>
      <c r="D41" s="3" t="s">
        <v>46</v>
      </c>
      <c r="E41" s="3" t="s">
        <v>47</v>
      </c>
      <c r="F41" s="3" t="s">
        <v>48</v>
      </c>
      <c r="G41" s="2" t="str">
        <f>VLOOKUP(D41,[1]费用科目!A:C,3,0)</f>
        <v>管理费用</v>
      </c>
      <c r="H41" s="3" t="s">
        <v>160</v>
      </c>
      <c r="I41" s="3" t="s">
        <v>43</v>
      </c>
      <c r="J41" s="4">
        <v>3656</v>
      </c>
      <c r="K41" s="4">
        <v>1289.04</v>
      </c>
      <c r="L41" s="4"/>
      <c r="M41" s="4"/>
      <c r="N41" s="4">
        <v>132.73000000000002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>
        <f t="shared" si="0"/>
        <v>5077.7700000000004</v>
      </c>
      <c r="AC41" s="4">
        <v>9</v>
      </c>
    </row>
    <row r="42" spans="1:29" ht="21.15" customHeight="1" x14ac:dyDescent="0.3">
      <c r="A42" s="2" t="s">
        <v>155</v>
      </c>
      <c r="B42" s="3" t="s">
        <v>30</v>
      </c>
      <c r="C42" s="3" t="s">
        <v>163</v>
      </c>
      <c r="D42" s="3" t="s">
        <v>162</v>
      </c>
      <c r="E42" s="3" t="s">
        <v>164</v>
      </c>
      <c r="F42" s="2" t="s">
        <v>56</v>
      </c>
      <c r="G42" s="2" t="str">
        <f>VLOOKUP(D42,[1]费用科目!A:C,3,0)</f>
        <v>研发费用</v>
      </c>
      <c r="H42" s="3" t="s">
        <v>165</v>
      </c>
      <c r="I42" s="3" t="s">
        <v>65</v>
      </c>
      <c r="J42" s="4"/>
      <c r="K42" s="4">
        <v>359.56</v>
      </c>
      <c r="L42" s="4"/>
      <c r="M42" s="4"/>
      <c r="N42" s="4">
        <v>58.59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>
        <f t="shared" si="0"/>
        <v>418.15</v>
      </c>
      <c r="AC42" s="4">
        <v>4</v>
      </c>
    </row>
    <row r="43" spans="1:29" ht="21.15" customHeight="1" x14ac:dyDescent="0.3">
      <c r="A43" s="2" t="s">
        <v>155</v>
      </c>
      <c r="B43" s="3" t="s">
        <v>30</v>
      </c>
      <c r="C43" s="3" t="s">
        <v>167</v>
      </c>
      <c r="D43" s="3" t="s">
        <v>60</v>
      </c>
      <c r="E43" s="3" t="s">
        <v>41</v>
      </c>
      <c r="F43" s="2" t="s">
        <v>41</v>
      </c>
      <c r="G43" s="2" t="str">
        <f>VLOOKUP(D43,[1]费用科目!A:C,3,0)</f>
        <v>管理费用</v>
      </c>
      <c r="H43" s="3" t="s">
        <v>157</v>
      </c>
      <c r="I43" s="3" t="s">
        <v>65</v>
      </c>
      <c r="J43" s="4"/>
      <c r="K43" s="4"/>
      <c r="L43" s="4"/>
      <c r="M43" s="4"/>
      <c r="N43" s="4">
        <v>135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>
        <f t="shared" si="0"/>
        <v>135</v>
      </c>
      <c r="AC43" s="4">
        <v>2</v>
      </c>
    </row>
    <row r="44" spans="1:29" ht="21.15" customHeight="1" x14ac:dyDescent="0.3">
      <c r="A44" s="2" t="s">
        <v>155</v>
      </c>
      <c r="B44" s="3" t="s">
        <v>30</v>
      </c>
      <c r="C44" s="3" t="s">
        <v>169</v>
      </c>
      <c r="D44" s="3" t="s">
        <v>60</v>
      </c>
      <c r="E44" s="3" t="s">
        <v>41</v>
      </c>
      <c r="F44" s="2" t="s">
        <v>41</v>
      </c>
      <c r="G44" s="2" t="str">
        <f>VLOOKUP(D44,[1]费用科目!A:C,3,0)</f>
        <v>管理费用</v>
      </c>
      <c r="H44" s="2" t="s">
        <v>157</v>
      </c>
      <c r="I44" s="3" t="s">
        <v>65</v>
      </c>
      <c r="J44" s="4"/>
      <c r="K44" s="4"/>
      <c r="L44" s="4"/>
      <c r="M44" s="4"/>
      <c r="N44" s="4">
        <v>241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>
        <f t="shared" si="0"/>
        <v>241</v>
      </c>
      <c r="AC44" s="4">
        <v>2</v>
      </c>
    </row>
    <row r="45" spans="1:29" ht="21.15" customHeight="1" x14ac:dyDescent="0.3">
      <c r="A45" s="2" t="s">
        <v>155</v>
      </c>
      <c r="B45" s="3" t="s">
        <v>30</v>
      </c>
      <c r="C45" s="3" t="s">
        <v>171</v>
      </c>
      <c r="D45" s="3" t="s">
        <v>166</v>
      </c>
      <c r="E45" s="3" t="s">
        <v>172</v>
      </c>
      <c r="F45" s="3" t="s">
        <v>56</v>
      </c>
      <c r="G45" s="2" t="str">
        <f>VLOOKUP(D45,[1]费用科目!A:C,3,0)</f>
        <v>研发费用</v>
      </c>
      <c r="H45" s="3" t="s">
        <v>165</v>
      </c>
      <c r="I45" s="3" t="s">
        <v>65</v>
      </c>
      <c r="J45" s="4">
        <v>274</v>
      </c>
      <c r="K45" s="4">
        <v>666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>
        <f t="shared" si="0"/>
        <v>940</v>
      </c>
      <c r="AC45" s="4">
        <v>5</v>
      </c>
    </row>
    <row r="46" spans="1:29" ht="21.15" customHeight="1" x14ac:dyDescent="0.3">
      <c r="A46" s="2" t="s">
        <v>155</v>
      </c>
      <c r="B46" s="3" t="s">
        <v>30</v>
      </c>
      <c r="C46" s="3" t="s">
        <v>174</v>
      </c>
      <c r="D46" s="3" t="s">
        <v>60</v>
      </c>
      <c r="E46" s="3" t="s">
        <v>41</v>
      </c>
      <c r="F46" s="2" t="s">
        <v>41</v>
      </c>
      <c r="G46" s="2" t="str">
        <f>VLOOKUP(D46,[1]费用科目!A:C,3,0)</f>
        <v>管理费用</v>
      </c>
      <c r="H46" s="3" t="s">
        <v>157</v>
      </c>
      <c r="I46" s="3" t="s">
        <v>65</v>
      </c>
      <c r="J46" s="4"/>
      <c r="K46" s="4"/>
      <c r="L46" s="4"/>
      <c r="M46" s="4"/>
      <c r="N46" s="4">
        <v>131.13999999999999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>
        <f t="shared" si="0"/>
        <v>131.13999999999999</v>
      </c>
      <c r="AC46" s="4">
        <v>2</v>
      </c>
    </row>
    <row r="47" spans="1:29" ht="21.15" customHeight="1" x14ac:dyDescent="0.3">
      <c r="A47" s="2" t="s">
        <v>155</v>
      </c>
      <c r="B47" s="3" t="s">
        <v>30</v>
      </c>
      <c r="C47" s="3" t="s">
        <v>176</v>
      </c>
      <c r="D47" s="3" t="s">
        <v>60</v>
      </c>
      <c r="E47" s="3" t="s">
        <v>41</v>
      </c>
      <c r="F47" s="3" t="s">
        <v>41</v>
      </c>
      <c r="G47" s="2" t="str">
        <f>VLOOKUP(D47,[1]费用科目!A:C,3,0)</f>
        <v>管理费用</v>
      </c>
      <c r="H47" s="3" t="s">
        <v>157</v>
      </c>
      <c r="I47" s="3" t="s">
        <v>65</v>
      </c>
      <c r="J47" s="4"/>
      <c r="K47" s="4"/>
      <c r="L47" s="4"/>
      <c r="M47" s="4"/>
      <c r="N47" s="4">
        <v>96.4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>
        <f t="shared" si="0"/>
        <v>96.4</v>
      </c>
      <c r="AC47" s="4">
        <v>2</v>
      </c>
    </row>
    <row r="48" spans="1:29" ht="21.15" customHeight="1" x14ac:dyDescent="0.3">
      <c r="A48" s="2" t="s">
        <v>155</v>
      </c>
      <c r="B48" s="3" t="s">
        <v>30</v>
      </c>
      <c r="C48" s="3" t="s">
        <v>178</v>
      </c>
      <c r="D48" s="3" t="s">
        <v>168</v>
      </c>
      <c r="E48" s="3" t="s">
        <v>179</v>
      </c>
      <c r="F48" s="2" t="s">
        <v>56</v>
      </c>
      <c r="G48" s="2" t="str">
        <f>VLOOKUP(D48,[1]费用科目!A:C,3,0)</f>
        <v>研发费用</v>
      </c>
      <c r="H48" s="3" t="s">
        <v>160</v>
      </c>
      <c r="I48" s="3" t="s">
        <v>65</v>
      </c>
      <c r="J48" s="4">
        <v>313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>
        <f t="shared" si="0"/>
        <v>313</v>
      </c>
      <c r="AC48" s="4">
        <v>5</v>
      </c>
    </row>
    <row r="49" spans="1:29" ht="21.15" customHeight="1" x14ac:dyDescent="0.3">
      <c r="A49" s="2" t="s">
        <v>155</v>
      </c>
      <c r="B49" s="3" t="s">
        <v>30</v>
      </c>
      <c r="C49" s="3" t="s">
        <v>181</v>
      </c>
      <c r="D49" s="3" t="s">
        <v>62</v>
      </c>
      <c r="E49" s="3" t="s">
        <v>63</v>
      </c>
      <c r="F49" s="2" t="s">
        <v>48</v>
      </c>
      <c r="G49" s="2" t="str">
        <f>VLOOKUP(D49,[1]费用科目!A:C,3,0)</f>
        <v>管理费用</v>
      </c>
      <c r="H49" s="3" t="s">
        <v>160</v>
      </c>
      <c r="I49" s="3" t="s">
        <v>65</v>
      </c>
      <c r="J49" s="4">
        <v>274</v>
      </c>
      <c r="K49" s="4">
        <v>684</v>
      </c>
      <c r="L49" s="4"/>
      <c r="M49" s="4"/>
      <c r="N49" s="4">
        <v>200.13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>
        <f t="shared" si="0"/>
        <v>1158.1300000000001</v>
      </c>
      <c r="AC49" s="4">
        <v>9</v>
      </c>
    </row>
    <row r="50" spans="1:29" ht="21.15" customHeight="1" x14ac:dyDescent="0.3">
      <c r="A50" s="2" t="s">
        <v>155</v>
      </c>
      <c r="B50" s="3" t="s">
        <v>30</v>
      </c>
      <c r="C50" s="3" t="s">
        <v>183</v>
      </c>
      <c r="D50" s="3" t="s">
        <v>81</v>
      </c>
      <c r="E50" s="3" t="s">
        <v>83</v>
      </c>
      <c r="F50" s="3" t="s">
        <v>75</v>
      </c>
      <c r="G50" s="2" t="str">
        <f>VLOOKUP(D50,[1]费用科目!A:C,3,0)</f>
        <v>研发费用</v>
      </c>
      <c r="H50" s="3" t="s">
        <v>157</v>
      </c>
      <c r="I50" s="3" t="s">
        <v>84</v>
      </c>
      <c r="J50" s="4"/>
      <c r="K50" s="4"/>
      <c r="L50" s="4"/>
      <c r="M50" s="4"/>
      <c r="N50" s="4">
        <v>177.1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>
        <f t="shared" si="0"/>
        <v>177.1</v>
      </c>
      <c r="AC50" s="4">
        <v>1</v>
      </c>
    </row>
    <row r="51" spans="1:29" ht="21.15" customHeight="1" x14ac:dyDescent="0.3">
      <c r="A51" s="2" t="s">
        <v>155</v>
      </c>
      <c r="B51" s="3" t="s">
        <v>30</v>
      </c>
      <c r="C51" s="3" t="s">
        <v>185</v>
      </c>
      <c r="D51" s="3" t="s">
        <v>77</v>
      </c>
      <c r="E51" s="3" t="s">
        <v>47</v>
      </c>
      <c r="F51" s="3" t="s">
        <v>48</v>
      </c>
      <c r="G51" s="2" t="str">
        <f>VLOOKUP(D51,[1]费用科目!A:C,3,0)</f>
        <v>管理费用</v>
      </c>
      <c r="H51" s="3" t="s">
        <v>160</v>
      </c>
      <c r="I51" s="3" t="s">
        <v>84</v>
      </c>
      <c r="J51" s="4">
        <v>31</v>
      </c>
      <c r="K51" s="4">
        <v>689.64</v>
      </c>
      <c r="L51" s="4"/>
      <c r="M51" s="4"/>
      <c r="N51" s="4">
        <v>274.81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>
        <f t="shared" si="0"/>
        <v>995.45</v>
      </c>
      <c r="AC51" s="4">
        <v>4</v>
      </c>
    </row>
    <row r="52" spans="1:29" ht="21.15" customHeight="1" x14ac:dyDescent="0.3">
      <c r="A52" s="2" t="s">
        <v>155</v>
      </c>
      <c r="B52" s="3" t="s">
        <v>30</v>
      </c>
      <c r="C52" s="3" t="s">
        <v>187</v>
      </c>
      <c r="D52" s="3" t="s">
        <v>108</v>
      </c>
      <c r="E52" s="3" t="s">
        <v>188</v>
      </c>
      <c r="F52" s="2" t="s">
        <v>75</v>
      </c>
      <c r="G52" s="2" t="str">
        <f>VLOOKUP(D52,[1]费用科目!A:C,3,0)</f>
        <v>研发费用</v>
      </c>
      <c r="H52" s="3" t="s">
        <v>157</v>
      </c>
      <c r="I52" s="3" t="s">
        <v>84</v>
      </c>
      <c r="J52" s="4">
        <v>52</v>
      </c>
      <c r="K52" s="4"/>
      <c r="L52" s="4"/>
      <c r="M52" s="4"/>
      <c r="N52" s="4">
        <v>92.42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>
        <f t="shared" si="0"/>
        <v>144.42000000000002</v>
      </c>
      <c r="AC52" s="4">
        <v>5</v>
      </c>
    </row>
    <row r="53" spans="1:29" ht="21.15" customHeight="1" x14ac:dyDescent="0.3">
      <c r="A53" s="2" t="s">
        <v>155</v>
      </c>
      <c r="B53" s="3" t="s">
        <v>30</v>
      </c>
      <c r="C53" s="3" t="s">
        <v>190</v>
      </c>
      <c r="D53" s="3" t="s">
        <v>60</v>
      </c>
      <c r="E53" s="3" t="s">
        <v>41</v>
      </c>
      <c r="F53" s="2" t="s">
        <v>41</v>
      </c>
      <c r="G53" s="2" t="str">
        <f>VLOOKUP(D53,[1]费用科目!A:C,3,0)</f>
        <v>管理费用</v>
      </c>
      <c r="H53" s="3" t="s">
        <v>157</v>
      </c>
      <c r="I53" s="3" t="s">
        <v>84</v>
      </c>
      <c r="J53" s="4">
        <v>228</v>
      </c>
      <c r="K53" s="4"/>
      <c r="L53" s="4"/>
      <c r="M53" s="4"/>
      <c r="N53" s="4">
        <v>57.54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>
        <f t="shared" si="0"/>
        <v>285.54000000000002</v>
      </c>
      <c r="AC53" s="4">
        <v>4</v>
      </c>
    </row>
    <row r="54" spans="1:29" ht="21.15" customHeight="1" x14ac:dyDescent="0.3">
      <c r="A54" s="2" t="s">
        <v>155</v>
      </c>
      <c r="B54" s="3" t="s">
        <v>30</v>
      </c>
      <c r="C54" s="3" t="s">
        <v>192</v>
      </c>
      <c r="D54" s="3" t="s">
        <v>87</v>
      </c>
      <c r="E54" s="3" t="s">
        <v>88</v>
      </c>
      <c r="F54" s="2" t="s">
        <v>75</v>
      </c>
      <c r="G54" s="2" t="str">
        <f>VLOOKUP(D54,[1]费用科目!A:C,3,0)</f>
        <v>研发费用</v>
      </c>
      <c r="H54" s="3" t="s">
        <v>157</v>
      </c>
      <c r="I54" s="3" t="s">
        <v>84</v>
      </c>
      <c r="J54" s="4"/>
      <c r="K54" s="4"/>
      <c r="L54" s="4"/>
      <c r="M54" s="4"/>
      <c r="N54" s="4">
        <v>219.29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>
        <f t="shared" si="0"/>
        <v>219.29</v>
      </c>
      <c r="AC54" s="4">
        <v>4</v>
      </c>
    </row>
    <row r="55" spans="1:29" ht="21.15" customHeight="1" x14ac:dyDescent="0.3">
      <c r="A55" s="2" t="s">
        <v>155</v>
      </c>
      <c r="B55" s="3" t="s">
        <v>30</v>
      </c>
      <c r="C55" s="3" t="s">
        <v>194</v>
      </c>
      <c r="D55" s="3" t="s">
        <v>73</v>
      </c>
      <c r="E55" s="3" t="s">
        <v>74</v>
      </c>
      <c r="F55" s="2" t="s">
        <v>75</v>
      </c>
      <c r="G55" s="2" t="str">
        <f>VLOOKUP(D55,[1]费用科目!A:C,3,0)</f>
        <v>研发费用</v>
      </c>
      <c r="H55" s="3" t="s">
        <v>195</v>
      </c>
      <c r="I55" s="3" t="s">
        <v>84</v>
      </c>
      <c r="J55" s="4"/>
      <c r="K55" s="4">
        <v>1050</v>
      </c>
      <c r="L55" s="4"/>
      <c r="M55" s="4"/>
      <c r="N55" s="4">
        <v>183.82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>
        <f t="shared" si="0"/>
        <v>1233.82</v>
      </c>
      <c r="AC55" s="4">
        <v>2</v>
      </c>
    </row>
    <row r="56" spans="1:29" ht="21.15" customHeight="1" x14ac:dyDescent="0.3">
      <c r="A56" s="2" t="s">
        <v>155</v>
      </c>
      <c r="B56" s="3" t="s">
        <v>30</v>
      </c>
      <c r="C56" s="3" t="s">
        <v>197</v>
      </c>
      <c r="D56" s="3" t="s">
        <v>170</v>
      </c>
      <c r="E56" s="3" t="s">
        <v>198</v>
      </c>
      <c r="F56" s="2" t="s">
        <v>75</v>
      </c>
      <c r="G56" s="2" t="str">
        <f>VLOOKUP(D56,[1]费用科目!A:C,3,0)</f>
        <v>研发费用</v>
      </c>
      <c r="H56" s="3" t="s">
        <v>165</v>
      </c>
      <c r="I56" s="3" t="s">
        <v>84</v>
      </c>
      <c r="J56" s="4">
        <v>84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>
        <f t="shared" si="0"/>
        <v>84</v>
      </c>
      <c r="AC56" s="4">
        <v>4</v>
      </c>
    </row>
    <row r="57" spans="1:29" ht="21.15" customHeight="1" x14ac:dyDescent="0.3">
      <c r="A57" s="2" t="s">
        <v>155</v>
      </c>
      <c r="B57" s="3" t="s">
        <v>30</v>
      </c>
      <c r="C57" s="3" t="s">
        <v>199</v>
      </c>
      <c r="D57" s="3" t="s">
        <v>173</v>
      </c>
      <c r="E57" s="3" t="s">
        <v>198</v>
      </c>
      <c r="F57" s="2" t="s">
        <v>75</v>
      </c>
      <c r="G57" s="2" t="str">
        <f>VLOOKUP(D57,[1]费用科目!A:C,3,0)</f>
        <v>研发费用</v>
      </c>
      <c r="H57" s="3" t="s">
        <v>157</v>
      </c>
      <c r="I57" s="3" t="s">
        <v>84</v>
      </c>
      <c r="J57" s="4"/>
      <c r="K57" s="4"/>
      <c r="L57" s="4"/>
      <c r="M57" s="4"/>
      <c r="N57" s="4">
        <v>169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>
        <f t="shared" si="0"/>
        <v>169</v>
      </c>
      <c r="AC57" s="4">
        <v>2</v>
      </c>
    </row>
    <row r="58" spans="1:29" ht="21.15" customHeight="1" x14ac:dyDescent="0.3">
      <c r="A58" s="2" t="s">
        <v>155</v>
      </c>
      <c r="B58" s="3" t="s">
        <v>30</v>
      </c>
      <c r="C58" s="3" t="s">
        <v>200</v>
      </c>
      <c r="D58" s="3" t="s">
        <v>71</v>
      </c>
      <c r="E58" s="3" t="s">
        <v>164</v>
      </c>
      <c r="F58" s="2" t="s">
        <v>56</v>
      </c>
      <c r="G58" s="2" t="str">
        <f>VLOOKUP(D58,[1]费用科目!A:C,3,0)</f>
        <v>研发费用</v>
      </c>
      <c r="H58" s="3" t="s">
        <v>157</v>
      </c>
      <c r="I58" s="3" t="s">
        <v>84</v>
      </c>
      <c r="J58" s="4">
        <v>262</v>
      </c>
      <c r="K58" s="4"/>
      <c r="L58" s="4"/>
      <c r="M58" s="4"/>
      <c r="N58" s="4">
        <v>129.24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>
        <f t="shared" si="0"/>
        <v>391.24</v>
      </c>
      <c r="AC58" s="4">
        <v>5</v>
      </c>
    </row>
    <row r="59" spans="1:29" ht="21.15" customHeight="1" x14ac:dyDescent="0.3">
      <c r="A59" s="2" t="s">
        <v>155</v>
      </c>
      <c r="B59" s="3" t="s">
        <v>30</v>
      </c>
      <c r="C59" s="3" t="s">
        <v>201</v>
      </c>
      <c r="D59" s="3" t="s">
        <v>175</v>
      </c>
      <c r="E59" s="3" t="s">
        <v>103</v>
      </c>
      <c r="F59" s="2" t="s">
        <v>56</v>
      </c>
      <c r="G59" s="2" t="str">
        <f>VLOOKUP(D59,[1]费用科目!A:C,3,0)</f>
        <v>研发费用</v>
      </c>
      <c r="H59" s="3" t="s">
        <v>157</v>
      </c>
      <c r="I59" s="3" t="s">
        <v>84</v>
      </c>
      <c r="J59" s="4"/>
      <c r="K59" s="4"/>
      <c r="L59" s="4"/>
      <c r="M59" s="4"/>
      <c r="N59" s="4">
        <v>234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>
        <f t="shared" si="0"/>
        <v>234</v>
      </c>
      <c r="AC59" s="4">
        <v>1</v>
      </c>
    </row>
    <row r="60" spans="1:29" ht="21.15" customHeight="1" x14ac:dyDescent="0.3">
      <c r="A60" s="2" t="s">
        <v>155</v>
      </c>
      <c r="B60" s="3" t="s">
        <v>30</v>
      </c>
      <c r="C60" s="3" t="s">
        <v>202</v>
      </c>
      <c r="D60" s="3" t="s">
        <v>177</v>
      </c>
      <c r="E60" s="3" t="s">
        <v>203</v>
      </c>
      <c r="F60" s="2" t="s">
        <v>56</v>
      </c>
      <c r="G60" s="2" t="str">
        <f>VLOOKUP(D60,[1]费用科目!A:C,3,0)</f>
        <v>研发费用</v>
      </c>
      <c r="H60" s="3" t="s">
        <v>157</v>
      </c>
      <c r="I60" s="3" t="s">
        <v>99</v>
      </c>
      <c r="J60" s="4"/>
      <c r="K60" s="4"/>
      <c r="L60" s="4"/>
      <c r="M60" s="4"/>
      <c r="N60" s="4">
        <v>212.1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>
        <f t="shared" si="0"/>
        <v>212.1</v>
      </c>
      <c r="AC60" s="4">
        <v>1</v>
      </c>
    </row>
    <row r="61" spans="1:29" ht="21.15" customHeight="1" x14ac:dyDescent="0.3">
      <c r="A61" s="2" t="s">
        <v>155</v>
      </c>
      <c r="B61" s="3" t="s">
        <v>30</v>
      </c>
      <c r="C61" s="3" t="s">
        <v>204</v>
      </c>
      <c r="D61" s="3" t="s">
        <v>105</v>
      </c>
      <c r="E61" s="3" t="s">
        <v>94</v>
      </c>
      <c r="F61" s="2" t="s">
        <v>75</v>
      </c>
      <c r="G61" s="2" t="str">
        <f>VLOOKUP(D61,[1]费用科目!A:C,3,0)</f>
        <v>研发费用</v>
      </c>
      <c r="H61" s="3" t="s">
        <v>157</v>
      </c>
      <c r="I61" s="3" t="s">
        <v>99</v>
      </c>
      <c r="J61" s="4"/>
      <c r="K61" s="4"/>
      <c r="L61" s="4"/>
      <c r="M61" s="4"/>
      <c r="N61" s="4">
        <v>152.4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>
        <f t="shared" si="0"/>
        <v>152.4</v>
      </c>
      <c r="AC61" s="4">
        <v>1</v>
      </c>
    </row>
    <row r="62" spans="1:29" ht="21.15" customHeight="1" x14ac:dyDescent="0.3">
      <c r="A62" s="2" t="s">
        <v>155</v>
      </c>
      <c r="B62" s="3" t="s">
        <v>30</v>
      </c>
      <c r="C62" s="3" t="s">
        <v>205</v>
      </c>
      <c r="D62" s="3" t="s">
        <v>180</v>
      </c>
      <c r="E62" s="3" t="s">
        <v>206</v>
      </c>
      <c r="F62" s="3" t="s">
        <v>75</v>
      </c>
      <c r="G62" s="2" t="str">
        <f>VLOOKUP(D62,[1]费用科目!A:C,3,0)</f>
        <v>研发费用</v>
      </c>
      <c r="H62" s="3" t="s">
        <v>157</v>
      </c>
      <c r="I62" s="3" t="s">
        <v>207</v>
      </c>
      <c r="J62" s="4"/>
      <c r="K62" s="4"/>
      <c r="L62" s="4"/>
      <c r="M62" s="4"/>
      <c r="N62" s="4">
        <v>213.6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>
        <f t="shared" si="0"/>
        <v>213.6</v>
      </c>
      <c r="AC62" s="4">
        <v>2</v>
      </c>
    </row>
    <row r="63" spans="1:29" ht="21.15" customHeight="1" x14ac:dyDescent="0.3">
      <c r="A63" s="2" t="s">
        <v>155</v>
      </c>
      <c r="B63" s="3" t="s">
        <v>30</v>
      </c>
      <c r="C63" s="3" t="s">
        <v>208</v>
      </c>
      <c r="D63" s="3" t="s">
        <v>182</v>
      </c>
      <c r="E63" s="3" t="s">
        <v>47</v>
      </c>
      <c r="F63" s="2" t="s">
        <v>48</v>
      </c>
      <c r="G63" s="2" t="str">
        <f>VLOOKUP(D63,[1]费用科目!A:C,3,0)</f>
        <v>管理费用</v>
      </c>
      <c r="H63" s="3" t="s">
        <v>160</v>
      </c>
      <c r="I63" s="3" t="s">
        <v>209</v>
      </c>
      <c r="J63" s="4">
        <v>2137</v>
      </c>
      <c r="K63" s="4">
        <v>431</v>
      </c>
      <c r="L63" s="4"/>
      <c r="M63" s="4"/>
      <c r="N63" s="4">
        <v>84.81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>
        <f t="shared" si="0"/>
        <v>2652.81</v>
      </c>
      <c r="AC63" s="4">
        <v>6</v>
      </c>
    </row>
    <row r="64" spans="1:29" ht="21.15" customHeight="1" x14ac:dyDescent="0.3">
      <c r="A64" s="2" t="s">
        <v>155</v>
      </c>
      <c r="B64" s="3" t="s">
        <v>30</v>
      </c>
      <c r="C64" s="3" t="s">
        <v>210</v>
      </c>
      <c r="D64" s="3" t="s">
        <v>91</v>
      </c>
      <c r="E64" s="3" t="s">
        <v>211</v>
      </c>
      <c r="F64" s="3" t="s">
        <v>75</v>
      </c>
      <c r="G64" s="2" t="str">
        <f>VLOOKUP(D64,[1]费用科目!A:C,3,0)</f>
        <v>研发费用</v>
      </c>
      <c r="H64" s="3" t="s">
        <v>157</v>
      </c>
      <c r="I64" s="3" t="s">
        <v>212</v>
      </c>
      <c r="J64" s="4"/>
      <c r="K64" s="4"/>
      <c r="L64" s="4"/>
      <c r="M64" s="4"/>
      <c r="N64" s="4"/>
      <c r="O64" s="4"/>
      <c r="P64" s="4">
        <v>42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>
        <f t="shared" si="0"/>
        <v>42</v>
      </c>
      <c r="AC64" s="4">
        <v>9</v>
      </c>
    </row>
    <row r="65" spans="1:29" ht="21.15" customHeight="1" x14ac:dyDescent="0.3">
      <c r="A65" s="2" t="s">
        <v>155</v>
      </c>
      <c r="B65" s="3" t="s">
        <v>30</v>
      </c>
      <c r="C65" s="3" t="s">
        <v>213</v>
      </c>
      <c r="D65" s="3" t="s">
        <v>121</v>
      </c>
      <c r="E65" s="3" t="s">
        <v>122</v>
      </c>
      <c r="F65" s="3" t="s">
        <v>48</v>
      </c>
      <c r="G65" s="2" t="str">
        <f>VLOOKUP(D65,[1]费用科目!A:C,3,0)</f>
        <v>管理费用</v>
      </c>
      <c r="H65" s="3" t="s">
        <v>195</v>
      </c>
      <c r="I65" s="3" t="s">
        <v>123</v>
      </c>
      <c r="J65" s="4">
        <v>2125</v>
      </c>
      <c r="K65" s="4">
        <v>1127</v>
      </c>
      <c r="L65" s="4"/>
      <c r="M65" s="4"/>
      <c r="N65" s="4">
        <v>71.67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>
        <f t="shared" si="0"/>
        <v>3323.67</v>
      </c>
      <c r="AC65" s="4">
        <v>8</v>
      </c>
    </row>
    <row r="66" spans="1:29" ht="21.15" customHeight="1" x14ac:dyDescent="0.3">
      <c r="A66" s="2" t="s">
        <v>155</v>
      </c>
      <c r="B66" s="3" t="s">
        <v>30</v>
      </c>
      <c r="C66" s="3" t="s">
        <v>214</v>
      </c>
      <c r="D66" s="3" t="s">
        <v>100</v>
      </c>
      <c r="E66" s="3" t="s">
        <v>215</v>
      </c>
      <c r="F66" s="3" t="s">
        <v>75</v>
      </c>
      <c r="G66" s="2" t="str">
        <f>VLOOKUP(D66,[1]费用科目!A:C,3,0)</f>
        <v>研发费用</v>
      </c>
      <c r="H66" s="3" t="s">
        <v>165</v>
      </c>
      <c r="I66" s="3" t="s">
        <v>134</v>
      </c>
      <c r="J66" s="4">
        <v>88</v>
      </c>
      <c r="K66" s="4">
        <v>433.88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>
        <f t="shared" si="0"/>
        <v>521.88</v>
      </c>
      <c r="AC66" s="4">
        <v>3</v>
      </c>
    </row>
    <row r="67" spans="1:29" ht="21.15" customHeight="1" x14ac:dyDescent="0.3">
      <c r="A67" s="2" t="s">
        <v>155</v>
      </c>
      <c r="B67" s="3" t="s">
        <v>30</v>
      </c>
      <c r="C67" s="3" t="s">
        <v>216</v>
      </c>
      <c r="D67" s="3" t="s">
        <v>124</v>
      </c>
      <c r="E67" s="3" t="s">
        <v>88</v>
      </c>
      <c r="F67" s="3" t="s">
        <v>75</v>
      </c>
      <c r="G67" s="2" t="str">
        <f>VLOOKUP(D67,[1]费用科目!A:C,3,0)</f>
        <v>研发费用</v>
      </c>
      <c r="H67" s="3" t="s">
        <v>217</v>
      </c>
      <c r="I67" s="3" t="s">
        <v>134</v>
      </c>
      <c r="J67" s="4">
        <v>361</v>
      </c>
      <c r="K67" s="4"/>
      <c r="L67" s="4"/>
      <c r="M67" s="4"/>
      <c r="N67" s="4">
        <v>194.13</v>
      </c>
      <c r="O67" s="4"/>
      <c r="P67" s="4">
        <v>77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>
        <f t="shared" ref="AB67:AB87" si="1">SUM(J67:AA67)</f>
        <v>632.13</v>
      </c>
      <c r="AC67" s="4">
        <v>28</v>
      </c>
    </row>
    <row r="68" spans="1:29" ht="21.15" customHeight="1" x14ac:dyDescent="0.3">
      <c r="A68" s="2" t="s">
        <v>155</v>
      </c>
      <c r="B68" s="3" t="s">
        <v>30</v>
      </c>
      <c r="C68" s="3" t="s">
        <v>218</v>
      </c>
      <c r="D68" s="3" t="s">
        <v>184</v>
      </c>
      <c r="E68" s="3" t="s">
        <v>219</v>
      </c>
      <c r="F68" s="3" t="s">
        <v>75</v>
      </c>
      <c r="G68" s="2" t="str">
        <f>VLOOKUP(D68,[1]费用科目!A:C,3,0)</f>
        <v>研发费用</v>
      </c>
      <c r="H68" s="3" t="s">
        <v>195</v>
      </c>
      <c r="I68" s="3" t="s">
        <v>220</v>
      </c>
      <c r="J68" s="4">
        <v>130</v>
      </c>
      <c r="K68" s="4">
        <v>733.88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>
        <f t="shared" si="1"/>
        <v>863.88</v>
      </c>
      <c r="AC68" s="4">
        <v>6</v>
      </c>
    </row>
    <row r="69" spans="1:29" ht="21.15" customHeight="1" x14ac:dyDescent="0.3">
      <c r="A69" s="2" t="s">
        <v>155</v>
      </c>
      <c r="B69" s="3" t="s">
        <v>30</v>
      </c>
      <c r="C69" s="3" t="s">
        <v>221</v>
      </c>
      <c r="D69" s="3" t="s">
        <v>177</v>
      </c>
      <c r="E69" s="3" t="s">
        <v>203</v>
      </c>
      <c r="F69" s="3" t="s">
        <v>56</v>
      </c>
      <c r="G69" s="2" t="str">
        <f>VLOOKUP(D69,[1]费用科目!A:C,3,0)</f>
        <v>研发费用</v>
      </c>
      <c r="H69" s="3" t="s">
        <v>157</v>
      </c>
      <c r="I69" s="3" t="s">
        <v>99</v>
      </c>
      <c r="J69" s="4"/>
      <c r="K69" s="4"/>
      <c r="L69" s="4"/>
      <c r="M69" s="4"/>
      <c r="N69" s="4">
        <v>231.78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>
        <f t="shared" si="1"/>
        <v>231.78</v>
      </c>
      <c r="AC69" s="4">
        <v>1</v>
      </c>
    </row>
    <row r="70" spans="1:29" ht="21.15" customHeight="1" x14ac:dyDescent="0.3">
      <c r="A70" s="2" t="s">
        <v>155</v>
      </c>
      <c r="B70" s="3" t="s">
        <v>30</v>
      </c>
      <c r="C70" s="3" t="s">
        <v>222</v>
      </c>
      <c r="D70" s="3" t="s">
        <v>81</v>
      </c>
      <c r="E70" s="3" t="s">
        <v>83</v>
      </c>
      <c r="F70" s="3" t="s">
        <v>75</v>
      </c>
      <c r="G70" s="2" t="str">
        <f>VLOOKUP(D70,[1]费用科目!A:C,3,0)</f>
        <v>研发费用</v>
      </c>
      <c r="H70" s="3" t="s">
        <v>165</v>
      </c>
      <c r="I70" s="3" t="s">
        <v>137</v>
      </c>
      <c r="J70" s="4">
        <v>171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>
        <f t="shared" si="1"/>
        <v>171</v>
      </c>
      <c r="AC70" s="4">
        <v>4</v>
      </c>
    </row>
    <row r="71" spans="1:29" ht="21.15" customHeight="1" x14ac:dyDescent="0.3">
      <c r="A71" s="2" t="s">
        <v>155</v>
      </c>
      <c r="B71" s="3" t="s">
        <v>30</v>
      </c>
      <c r="C71" s="3" t="s">
        <v>223</v>
      </c>
      <c r="D71" s="3" t="s">
        <v>186</v>
      </c>
      <c r="E71" s="3" t="s">
        <v>224</v>
      </c>
      <c r="F71" s="3" t="s">
        <v>56</v>
      </c>
      <c r="G71" s="2" t="str">
        <f>VLOOKUP(D71,[1]费用科目!A:C,3,0)</f>
        <v>研发费用</v>
      </c>
      <c r="H71" s="3" t="s">
        <v>157</v>
      </c>
      <c r="I71" s="3" t="s">
        <v>225</v>
      </c>
      <c r="J71" s="4">
        <v>49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>
        <f t="shared" si="1"/>
        <v>49</v>
      </c>
      <c r="AC71" s="4">
        <v>1</v>
      </c>
    </row>
    <row r="72" spans="1:29" ht="21.15" customHeight="1" x14ac:dyDescent="0.3">
      <c r="A72" s="2" t="s">
        <v>155</v>
      </c>
      <c r="B72" s="3" t="s">
        <v>30</v>
      </c>
      <c r="C72" s="3" t="s">
        <v>226</v>
      </c>
      <c r="D72" s="3" t="s">
        <v>87</v>
      </c>
      <c r="E72" s="3" t="s">
        <v>88</v>
      </c>
      <c r="F72" s="3" t="s">
        <v>75</v>
      </c>
      <c r="G72" s="2" t="str">
        <f>VLOOKUP(D72,[1]费用科目!A:C,3,0)</f>
        <v>研发费用</v>
      </c>
      <c r="H72" s="3" t="s">
        <v>157</v>
      </c>
      <c r="I72" s="3" t="s">
        <v>227</v>
      </c>
      <c r="J72" s="4"/>
      <c r="K72" s="4"/>
      <c r="L72" s="4"/>
      <c r="M72" s="4"/>
      <c r="N72" s="4">
        <v>186.55</v>
      </c>
      <c r="O72" s="4"/>
      <c r="P72" s="4">
        <v>22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>
        <f t="shared" si="1"/>
        <v>208.55</v>
      </c>
      <c r="AC72" s="4">
        <v>4</v>
      </c>
    </row>
    <row r="73" spans="1:29" ht="21.15" customHeight="1" x14ac:dyDescent="0.3">
      <c r="A73" s="2" t="s">
        <v>155</v>
      </c>
      <c r="B73" s="3" t="s">
        <v>30</v>
      </c>
      <c r="C73" s="3" t="s">
        <v>228</v>
      </c>
      <c r="D73" s="3" t="s">
        <v>186</v>
      </c>
      <c r="E73" s="3" t="s">
        <v>224</v>
      </c>
      <c r="F73" s="3" t="s">
        <v>56</v>
      </c>
      <c r="G73" s="2" t="str">
        <f>VLOOKUP(D73,[1]费用科目!A:C,3,0)</f>
        <v>研发费用</v>
      </c>
      <c r="H73" s="3" t="s">
        <v>157</v>
      </c>
      <c r="I73" s="3" t="s">
        <v>225</v>
      </c>
      <c r="J73" s="4">
        <v>65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>
        <f t="shared" si="1"/>
        <v>65</v>
      </c>
      <c r="AC73" s="4">
        <v>2</v>
      </c>
    </row>
    <row r="74" spans="1:29" ht="21.15" customHeight="1" x14ac:dyDescent="0.3">
      <c r="A74" s="2" t="s">
        <v>155</v>
      </c>
      <c r="B74" s="3" t="s">
        <v>30</v>
      </c>
      <c r="C74" s="3" t="s">
        <v>229</v>
      </c>
      <c r="D74" s="3" t="s">
        <v>189</v>
      </c>
      <c r="E74" s="3" t="s">
        <v>230</v>
      </c>
      <c r="F74" s="2" t="s">
        <v>48</v>
      </c>
      <c r="G74" s="2" t="str">
        <f>VLOOKUP(D74,[1]费用科目!A:C,3,0)</f>
        <v>管理费用</v>
      </c>
      <c r="H74" s="3" t="s">
        <v>231</v>
      </c>
      <c r="I74" s="3" t="s">
        <v>232</v>
      </c>
      <c r="J74" s="4">
        <v>8146.5</v>
      </c>
      <c r="K74" s="4">
        <v>5001.3</v>
      </c>
      <c r="L74" s="4"/>
      <c r="M74" s="4"/>
      <c r="N74" s="4">
        <v>2494.0300000000002</v>
      </c>
      <c r="O74" s="4"/>
      <c r="P74" s="4">
        <v>26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>
        <f t="shared" si="1"/>
        <v>15667.83</v>
      </c>
      <c r="AC74" s="4">
        <v>30</v>
      </c>
    </row>
    <row r="75" spans="1:29" ht="21.15" customHeight="1" x14ac:dyDescent="0.3">
      <c r="A75" s="2" t="s">
        <v>155</v>
      </c>
      <c r="B75" s="3" t="s">
        <v>30</v>
      </c>
      <c r="C75" s="3" t="s">
        <v>233</v>
      </c>
      <c r="D75" s="3" t="s">
        <v>182</v>
      </c>
      <c r="E75" s="3" t="s">
        <v>47</v>
      </c>
      <c r="F75" s="2" t="s">
        <v>48</v>
      </c>
      <c r="G75" s="2" t="str">
        <f>VLOOKUP(D75,[1]费用科目!A:C,3,0)</f>
        <v>管理费用</v>
      </c>
      <c r="H75" s="3" t="s">
        <v>234</v>
      </c>
      <c r="I75" s="3" t="s">
        <v>139</v>
      </c>
      <c r="J75" s="4">
        <v>1231.5</v>
      </c>
      <c r="K75" s="4">
        <v>573</v>
      </c>
      <c r="L75" s="4"/>
      <c r="M75" s="4"/>
      <c r="N75" s="4">
        <v>39.099999999999994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>
        <f t="shared" si="1"/>
        <v>1843.6</v>
      </c>
      <c r="AC75" s="4">
        <v>8</v>
      </c>
    </row>
    <row r="76" spans="1:29" ht="21.15" customHeight="1" x14ac:dyDescent="0.3">
      <c r="A76" s="2" t="s">
        <v>155</v>
      </c>
      <c r="B76" s="3" t="s">
        <v>30</v>
      </c>
      <c r="C76" s="3" t="s">
        <v>235</v>
      </c>
      <c r="D76" s="3" t="s">
        <v>73</v>
      </c>
      <c r="E76" s="3" t="s">
        <v>74</v>
      </c>
      <c r="F76" s="2" t="s">
        <v>75</v>
      </c>
      <c r="G76" s="2" t="str">
        <f>VLOOKUP(D76,[1]费用科目!A:C,3,0)</f>
        <v>研发费用</v>
      </c>
      <c r="H76" s="3" t="s">
        <v>236</v>
      </c>
      <c r="I76" s="3" t="s">
        <v>139</v>
      </c>
      <c r="J76" s="4">
        <v>19551</v>
      </c>
      <c r="K76" s="4">
        <v>5490.41</v>
      </c>
      <c r="L76" s="4"/>
      <c r="M76" s="4"/>
      <c r="N76" s="4">
        <v>1542.88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>
        <v>494.96</v>
      </c>
      <c r="AB76" s="4">
        <f t="shared" si="1"/>
        <v>27079.25</v>
      </c>
      <c r="AC76" s="4">
        <v>14</v>
      </c>
    </row>
    <row r="77" spans="1:29" ht="21.15" customHeight="1" x14ac:dyDescent="0.3">
      <c r="A77" s="2" t="s">
        <v>155</v>
      </c>
      <c r="B77" s="3" t="s">
        <v>30</v>
      </c>
      <c r="C77" s="3" t="s">
        <v>237</v>
      </c>
      <c r="D77" s="3" t="s">
        <v>73</v>
      </c>
      <c r="E77" s="3" t="s">
        <v>74</v>
      </c>
      <c r="F77" s="2" t="s">
        <v>75</v>
      </c>
      <c r="G77" s="2" t="str">
        <f>VLOOKUP(D77,[1]费用科目!A:C,3,0)</f>
        <v>研发费用</v>
      </c>
      <c r="H77" s="3" t="s">
        <v>165</v>
      </c>
      <c r="I77" s="3" t="s">
        <v>141</v>
      </c>
      <c r="J77" s="4">
        <v>167</v>
      </c>
      <c r="K77" s="4">
        <v>450</v>
      </c>
      <c r="L77" s="4"/>
      <c r="M77" s="4"/>
      <c r="N77" s="4">
        <v>231.4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>
        <f t="shared" si="1"/>
        <v>848.4</v>
      </c>
      <c r="AC77" s="4">
        <v>7</v>
      </c>
    </row>
    <row r="78" spans="1:29" ht="21.15" customHeight="1" x14ac:dyDescent="0.3">
      <c r="A78" s="2" t="s">
        <v>155</v>
      </c>
      <c r="B78" s="3" t="s">
        <v>30</v>
      </c>
      <c r="C78" s="3" t="s">
        <v>238</v>
      </c>
      <c r="D78" s="3" t="s">
        <v>189</v>
      </c>
      <c r="E78" s="3" t="s">
        <v>230</v>
      </c>
      <c r="F78" s="2" t="s">
        <v>48</v>
      </c>
      <c r="G78" s="2" t="str">
        <f>VLOOKUP(D78,[1]费用科目!A:C,3,0)</f>
        <v>管理费用</v>
      </c>
      <c r="H78" s="3" t="s">
        <v>239</v>
      </c>
      <c r="I78" s="3" t="s">
        <v>232</v>
      </c>
      <c r="J78" s="4">
        <v>5283</v>
      </c>
      <c r="K78" s="4">
        <v>3457</v>
      </c>
      <c r="L78" s="4"/>
      <c r="M78" s="4"/>
      <c r="N78" s="4">
        <v>1870.16</v>
      </c>
      <c r="O78" s="4"/>
      <c r="P78" s="4">
        <v>55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>
        <f t="shared" si="1"/>
        <v>10665.16</v>
      </c>
      <c r="AC78" s="4">
        <v>28</v>
      </c>
    </row>
    <row r="79" spans="1:29" ht="21.15" customHeight="1" x14ac:dyDescent="0.3">
      <c r="A79" s="2" t="s">
        <v>155</v>
      </c>
      <c r="B79" s="3" t="s">
        <v>30</v>
      </c>
      <c r="C79" s="3" t="s">
        <v>240</v>
      </c>
      <c r="D79" s="3" t="s">
        <v>127</v>
      </c>
      <c r="E79" s="3" t="s">
        <v>241</v>
      </c>
      <c r="F79" s="2" t="s">
        <v>75</v>
      </c>
      <c r="G79" s="2" t="str">
        <f>VLOOKUP(D79,[1]费用科目!A:C,3,0)</f>
        <v>研发费用</v>
      </c>
      <c r="H79" s="3" t="s">
        <v>217</v>
      </c>
      <c r="I79" s="3" t="s">
        <v>227</v>
      </c>
      <c r="J79" s="4">
        <v>53</v>
      </c>
      <c r="K79" s="4">
        <v>444.15</v>
      </c>
      <c r="L79" s="4"/>
      <c r="M79" s="4"/>
      <c r="N79" s="4">
        <v>44.37</v>
      </c>
      <c r="O79" s="4"/>
      <c r="P79" s="4">
        <v>148.32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>
        <f t="shared" si="1"/>
        <v>689.83999999999992</v>
      </c>
      <c r="AC79" s="4">
        <v>12</v>
      </c>
    </row>
    <row r="80" spans="1:29" ht="21.15" customHeight="1" x14ac:dyDescent="0.3">
      <c r="A80" s="2" t="s">
        <v>155</v>
      </c>
      <c r="B80" s="3" t="s">
        <v>30</v>
      </c>
      <c r="C80" s="3" t="s">
        <v>242</v>
      </c>
      <c r="D80" s="3" t="s">
        <v>186</v>
      </c>
      <c r="E80" s="3" t="s">
        <v>224</v>
      </c>
      <c r="F80" s="2" t="s">
        <v>56</v>
      </c>
      <c r="G80" s="2" t="str">
        <f>VLOOKUP(D80,[1]费用科目!A:C,3,0)</f>
        <v>研发费用</v>
      </c>
      <c r="H80" s="3" t="s">
        <v>157</v>
      </c>
      <c r="I80" s="3" t="s">
        <v>225</v>
      </c>
      <c r="J80" s="4"/>
      <c r="K80" s="4"/>
      <c r="L80" s="4"/>
      <c r="M80" s="4"/>
      <c r="N80" s="4">
        <v>75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>
        <f t="shared" si="1"/>
        <v>75</v>
      </c>
      <c r="AC80" s="4">
        <v>3</v>
      </c>
    </row>
    <row r="81" spans="1:29" ht="21.15" customHeight="1" x14ac:dyDescent="0.3">
      <c r="A81" s="2" t="s">
        <v>243</v>
      </c>
      <c r="B81" s="3" t="s">
        <v>30</v>
      </c>
      <c r="C81" s="3" t="s">
        <v>244</v>
      </c>
      <c r="D81" s="3" t="s">
        <v>60</v>
      </c>
      <c r="E81" s="3" t="s">
        <v>41</v>
      </c>
      <c r="F81" s="2" t="s">
        <v>41</v>
      </c>
      <c r="G81" s="2" t="str">
        <f>VLOOKUP(D81,[1]费用科目!A:C,3,0)</f>
        <v>管理费用</v>
      </c>
      <c r="H81" s="3" t="s">
        <v>245</v>
      </c>
      <c r="I81" s="3" t="s">
        <v>246</v>
      </c>
      <c r="J81" s="4"/>
      <c r="K81" s="4"/>
      <c r="L81" s="4"/>
      <c r="M81" s="4"/>
      <c r="N81" s="4"/>
      <c r="O81" s="4"/>
      <c r="P81" s="4"/>
      <c r="Q81" s="4">
        <v>1374.9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>
        <f t="shared" si="1"/>
        <v>1374.9</v>
      </c>
      <c r="AC81" s="4">
        <v>4</v>
      </c>
    </row>
    <row r="82" spans="1:29" ht="21.15" customHeight="1" x14ac:dyDescent="0.3">
      <c r="A82" s="2" t="s">
        <v>243</v>
      </c>
      <c r="B82" s="3" t="s">
        <v>30</v>
      </c>
      <c r="C82" s="3" t="s">
        <v>247</v>
      </c>
      <c r="D82" s="3" t="s">
        <v>124</v>
      </c>
      <c r="E82" s="3" t="s">
        <v>88</v>
      </c>
      <c r="F82" s="2" t="s">
        <v>75</v>
      </c>
      <c r="G82" s="2" t="str">
        <f>VLOOKUP(D82,[1]费用科目!A:C,3,0)</f>
        <v>研发费用</v>
      </c>
      <c r="H82" s="3" t="s">
        <v>245</v>
      </c>
      <c r="I82" s="3" t="s">
        <v>134</v>
      </c>
      <c r="J82" s="4"/>
      <c r="K82" s="4"/>
      <c r="L82" s="4"/>
      <c r="M82" s="4"/>
      <c r="N82" s="4"/>
      <c r="O82" s="4"/>
      <c r="P82" s="4"/>
      <c r="Q82" s="4">
        <v>356.8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>
        <f t="shared" si="1"/>
        <v>356.8</v>
      </c>
      <c r="AC82" s="4">
        <v>1</v>
      </c>
    </row>
    <row r="83" spans="1:29" ht="21.15" customHeight="1" x14ac:dyDescent="0.3">
      <c r="A83" s="2" t="s">
        <v>243</v>
      </c>
      <c r="B83" s="3" t="s">
        <v>30</v>
      </c>
      <c r="C83" s="3" t="s">
        <v>248</v>
      </c>
      <c r="D83" s="3" t="s">
        <v>127</v>
      </c>
      <c r="E83" s="3" t="s">
        <v>241</v>
      </c>
      <c r="F83" s="2" t="s">
        <v>75</v>
      </c>
      <c r="G83" s="2" t="str">
        <f>VLOOKUP(D83,[1]费用科目!A:C,3,0)</f>
        <v>研发费用</v>
      </c>
      <c r="H83" s="3" t="s">
        <v>245</v>
      </c>
      <c r="I83" s="3" t="s">
        <v>134</v>
      </c>
      <c r="J83" s="4"/>
      <c r="K83" s="4"/>
      <c r="L83" s="4"/>
      <c r="M83" s="4"/>
      <c r="N83" s="4"/>
      <c r="O83" s="4"/>
      <c r="P83" s="4"/>
      <c r="Q83" s="4">
        <v>2175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>
        <f t="shared" si="1"/>
        <v>2175</v>
      </c>
      <c r="AC83" s="4">
        <v>1</v>
      </c>
    </row>
    <row r="84" spans="1:29" ht="21.15" customHeight="1" x14ac:dyDescent="0.3">
      <c r="A84" s="2" t="s">
        <v>243</v>
      </c>
      <c r="B84" s="3" t="s">
        <v>30</v>
      </c>
      <c r="C84" s="3" t="s">
        <v>249</v>
      </c>
      <c r="D84" s="3" t="s">
        <v>112</v>
      </c>
      <c r="E84" s="3" t="s">
        <v>203</v>
      </c>
      <c r="F84" s="2" t="s">
        <v>56</v>
      </c>
      <c r="G84" s="2" t="str">
        <f>VLOOKUP(D84,[1]费用科目!A:C,3,0)</f>
        <v>研发费用</v>
      </c>
      <c r="H84" s="3" t="s">
        <v>245</v>
      </c>
      <c r="I84" s="3" t="s">
        <v>225</v>
      </c>
      <c r="J84" s="4"/>
      <c r="K84" s="4"/>
      <c r="L84" s="4"/>
      <c r="M84" s="4"/>
      <c r="N84" s="4"/>
      <c r="O84" s="4"/>
      <c r="P84" s="4"/>
      <c r="Q84" s="4">
        <v>1590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>
        <f t="shared" si="1"/>
        <v>1590</v>
      </c>
      <c r="AC84" s="4">
        <v>7</v>
      </c>
    </row>
    <row r="85" spans="1:29" ht="21.15" customHeight="1" x14ac:dyDescent="0.3">
      <c r="A85" s="2" t="s">
        <v>243</v>
      </c>
      <c r="B85" s="3" t="s">
        <v>30</v>
      </c>
      <c r="C85" s="3" t="s">
        <v>250</v>
      </c>
      <c r="D85" s="3" t="s">
        <v>191</v>
      </c>
      <c r="E85" s="3" t="s">
        <v>251</v>
      </c>
      <c r="F85" s="2" t="s">
        <v>75</v>
      </c>
      <c r="G85" s="2" t="str">
        <f>VLOOKUP(D85,[1]费用科目!A:C,3,0)</f>
        <v>研发费用</v>
      </c>
      <c r="H85" s="3" t="s">
        <v>245</v>
      </c>
      <c r="I85" s="3" t="s">
        <v>225</v>
      </c>
      <c r="J85" s="4"/>
      <c r="K85" s="4"/>
      <c r="L85" s="4"/>
      <c r="M85" s="4"/>
      <c r="N85" s="4"/>
      <c r="O85" s="4"/>
      <c r="P85" s="4"/>
      <c r="Q85" s="4">
        <v>1093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>
        <f t="shared" si="1"/>
        <v>1093</v>
      </c>
      <c r="AC85" s="4">
        <v>1</v>
      </c>
    </row>
    <row r="86" spans="1:29" ht="21.15" customHeight="1" x14ac:dyDescent="0.3">
      <c r="A86" s="2" t="s">
        <v>243</v>
      </c>
      <c r="B86" s="3" t="s">
        <v>30</v>
      </c>
      <c r="C86" s="3" t="s">
        <v>252</v>
      </c>
      <c r="D86" s="3" t="s">
        <v>193</v>
      </c>
      <c r="E86" s="3" t="s">
        <v>253</v>
      </c>
      <c r="F86" s="2" t="s">
        <v>75</v>
      </c>
      <c r="G86" s="2" t="str">
        <f>VLOOKUP(D86,[1]费用科目!A:C,3,0)</f>
        <v>研发费用</v>
      </c>
      <c r="H86" s="3" t="s">
        <v>245</v>
      </c>
      <c r="I86" s="3" t="s">
        <v>227</v>
      </c>
      <c r="J86" s="4"/>
      <c r="K86" s="4"/>
      <c r="L86" s="4"/>
      <c r="M86" s="4"/>
      <c r="N86" s="4"/>
      <c r="O86" s="4"/>
      <c r="P86" s="4"/>
      <c r="Q86" s="4">
        <v>1676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>
        <f t="shared" si="1"/>
        <v>1676</v>
      </c>
      <c r="AC86" s="4">
        <v>1</v>
      </c>
    </row>
    <row r="87" spans="1:29" ht="21.15" customHeight="1" x14ac:dyDescent="0.3">
      <c r="A87" s="2" t="s">
        <v>243</v>
      </c>
      <c r="B87" s="3" t="s">
        <v>30</v>
      </c>
      <c r="C87" s="3" t="s">
        <v>254</v>
      </c>
      <c r="D87" s="3" t="s">
        <v>196</v>
      </c>
      <c r="E87" s="3" t="s">
        <v>255</v>
      </c>
      <c r="F87" s="2" t="s">
        <v>255</v>
      </c>
      <c r="G87" s="2" t="str">
        <f>VLOOKUP(D87,[1]费用科目!A:C,3,0)</f>
        <v>管理费用</v>
      </c>
      <c r="H87" s="3" t="s">
        <v>245</v>
      </c>
      <c r="I87" s="3" t="s">
        <v>256</v>
      </c>
      <c r="J87" s="4"/>
      <c r="K87" s="4"/>
      <c r="L87" s="4"/>
      <c r="M87" s="4"/>
      <c r="N87" s="4"/>
      <c r="O87" s="4"/>
      <c r="P87" s="4"/>
      <c r="Q87" s="4">
        <v>2720.22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>
        <f t="shared" si="1"/>
        <v>2720.22</v>
      </c>
      <c r="AC87" s="4">
        <v>5</v>
      </c>
    </row>
    <row r="88" spans="1:29" x14ac:dyDescent="0.3">
      <c r="AC88" s="4"/>
    </row>
  </sheetData>
  <phoneticPr fontId="2" type="noConversion"/>
  <conditionalFormatting sqref="G1">
    <cfRule type="duplicateValues" dxfId="3" priority="1"/>
    <cfRule type="duplicateValues" dxfId="2" priority="2"/>
  </conditionalFormatting>
  <conditionalFormatting sqref="A1:B1 H1:AC1 E1:F1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 张</dc:creator>
  <cp:lastModifiedBy>龙 张</cp:lastModifiedBy>
  <dcterms:created xsi:type="dcterms:W3CDTF">2025-10-13T07:10:02Z</dcterms:created>
  <dcterms:modified xsi:type="dcterms:W3CDTF">2025-11-18T09:57:58Z</dcterms:modified>
</cp:coreProperties>
</file>